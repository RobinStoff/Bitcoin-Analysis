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to\Desktop\DataAnalytics\Excel\analyze-bitcoin-project-files\analyze-bitcoin-project-files\"/>
    </mc:Choice>
  </mc:AlternateContent>
  <xr:revisionPtr revIDLastSave="0" documentId="13_ncr:1_{0A60313D-0253-4577-A052-38C2B26D44FE}" xr6:coauthVersionLast="47" xr6:coauthVersionMax="47" xr10:uidLastSave="{00000000-0000-0000-0000-000000000000}"/>
  <bookViews>
    <workbookView xWindow="-108" yWindow="-108" windowWidth="23256" windowHeight="12456" activeTab="1" xr2:uid="{505E9433-8B32-FE41-95DA-0DD801D10BA0}"/>
  </bookViews>
  <sheets>
    <sheet name="EDA" sheetId="4" r:id="rId1"/>
    <sheet name="Final Recommendation" sheetId="6" r:id="rId2"/>
    <sheet name="data" sheetId="2" state="hidden" r:id="rId3"/>
    <sheet name="Upside" sheetId="1" r:id="rId4"/>
    <sheet name="Spread" sheetId="3" r:id="rId5"/>
  </sheets>
  <definedNames>
    <definedName name="ExternalData_1" localSheetId="2" hidden="1">data!$A$1:$H$615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C3" i="3"/>
  <c r="D3" i="3" s="1"/>
  <c r="C2" i="3"/>
  <c r="D2" i="3" s="1"/>
  <c r="B3" i="3"/>
  <c r="B2" i="3"/>
  <c r="D2" i="1"/>
  <c r="D3" i="1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C855F-9C47-44DC-9B51-CFCE1071051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<sst xmlns="http://schemas.openxmlformats.org/spreadsheetml/2006/main" count="1279" uniqueCount="49">
  <si>
    <t>Date</t>
  </si>
  <si>
    <t>Month</t>
  </si>
  <si>
    <t>Symbol</t>
  </si>
  <si>
    <t>Open</t>
  </si>
  <si>
    <t>High</t>
  </si>
  <si>
    <t>Low</t>
  </si>
  <si>
    <t>Close</t>
  </si>
  <si>
    <t>Volume</t>
  </si>
  <si>
    <t>Jan</t>
  </si>
  <si>
    <t>BTCUSD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</si>
  <si>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</si>
  <si>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</si>
  <si>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</si>
  <si>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</si>
  <si>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</si>
  <si>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</si>
  <si>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</si>
  <si>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</si>
  <si>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</si>
  <si>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</si>
  <si>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</si>
  <si>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</si>
  <si>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SP500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</si>
  <si>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</si>
  <si>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</si>
  <si>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</si>
  <si>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</si>
  <si>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</si>
  <si>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</si>
  <si>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</si>
  <si>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</si>
  <si>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</si>
  <si>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</si>
  <si>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Trimmed Monht</t>
  </si>
  <si>
    <t>Trimmed Symbol</t>
  </si>
  <si>
    <t>*No missing values found.</t>
  </si>
  <si>
    <r>
      <t xml:space="preserve">However, SP500 does not trade on weekends, which </t>
    </r>
    <r>
      <rPr>
        <i/>
        <sz val="12"/>
        <color theme="1"/>
        <rFont val="Calibri"/>
        <family val="2"/>
        <scheme val="minor"/>
      </rPr>
      <t>may</t>
    </r>
    <r>
      <rPr>
        <sz val="12"/>
        <color theme="1"/>
        <rFont val="Calibri"/>
        <family val="2"/>
        <scheme val="minor"/>
      </rPr>
      <t xml:space="preserve"> affect comparisons with Bitcoin.</t>
    </r>
  </si>
  <si>
    <t>First Open 2021</t>
  </si>
  <si>
    <t>Last Close</t>
  </si>
  <si>
    <t>% UP</t>
  </si>
  <si>
    <t>Highest High</t>
  </si>
  <si>
    <t>Lowest Low</t>
  </si>
  <si>
    <t>Low as % of High</t>
  </si>
  <si>
    <t>Row Labels</t>
  </si>
  <si>
    <t>Grand Total</t>
  </si>
  <si>
    <t>Column Labels</t>
  </si>
  <si>
    <t>Average of Close</t>
  </si>
  <si>
    <t>Average of High</t>
  </si>
  <si>
    <t>📊 Final Investment Assessment –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</si>
</sst>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7" formatCode="&quot;$&quot;#,##0.00"/>
    <numFmt numFmtId="168" formatCode="&quot;$&quot;#,##0.0"/>
    <numFmt numFmtId="171" formatCode="_(&quot;$&quot;* #,##0.0_);_(&quot;$&quot;* \(#,##0.0\);_(&quot;$&quot;* &quot;-&quot;??_);_(@_)"/>
    <numFmt numFmtId="17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167" fontId="0" fillId="0" borderId="0" xfId="0" applyNumberFormat="1"/>
    <xf numFmtId="44" fontId="0" fillId="0" borderId="0" xfId="3" applyFont="1"/>
    <xf numFmtId="168" fontId="0" fillId="0" borderId="0" xfId="0" applyNumberFormat="1"/>
    <xf numFmtId="171" fontId="0" fillId="0" borderId="0" xfId="3" applyNumberFormat="1" applyFont="1"/>
    <xf numFmtId="174" fontId="0" fillId="0" borderId="0" xfId="2" applyNumberFormat="1" applyFont="1"/>
    <xf numFmtId="167" fontId="0" fillId="0" borderId="0" xfId="0" pivotButton="1" applyNumberFormat="1"/>
    <xf numFmtId="167" fontId="0" fillId="0" borderId="0" xfId="0" applyNumberFormat="1" applyAlignment="1">
      <alignment horizontal="left"/>
    </xf>
    <xf numFmtId="167" fontId="4" fillId="0" borderId="0" xfId="0" applyNumberFormat="1" applyFont="1"/>
    <xf numFmtId="0" fontId="4" fillId="0" borderId="0" xfId="0" applyFont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21">
    <dxf>
      <font>
        <b/>
      </font>
    </dxf>
    <dxf>
      <font>
        <b/>
      </font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71" formatCode="_(&quot;$&quot;* #,##0.0_);_(&quot;$&quot;* \(#,##0.0\);_(&quot;$&quot;* &quot;-&quot;??_);_(@_)"/>
    </dxf>
    <dxf>
      <numFmt numFmtId="2" formatCode="0.00"/>
    </dxf>
    <dxf>
      <numFmt numFmtId="168" formatCode="&quot;$&quot;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[bitcoin-analysis.xlsx]EDA!PivotTable10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EDA!$G$1:$G$2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EDA!$F$3:$F$365</c:f>
              <c:strCache>
                <c:ptCount val="362"/>
                <c:pt idx="0">
                  <c:v>1/4/2021</c:v>
                </c:pt>
                <c:pt idx="1">
                  <c:v>1/5/2021</c:v>
                </c:pt>
                <c:pt idx="2">
                  <c:v>1/6/2021</c:v>
                </c:pt>
                <c:pt idx="3">
                  <c:v>1/7/2021</c:v>
                </c:pt>
                <c:pt idx="4">
                  <c:v>1/8/2021</c:v>
                </c:pt>
                <c:pt idx="5">
                  <c:v>1/9/2021</c:v>
                </c:pt>
                <c:pt idx="6">
                  <c:v>1/10/2021</c:v>
                </c:pt>
                <c:pt idx="7">
                  <c:v>1/11/2021</c:v>
                </c:pt>
                <c:pt idx="8">
                  <c:v>1/12/2021</c:v>
                </c:pt>
                <c:pt idx="9">
                  <c:v>1/13/2021</c:v>
                </c:pt>
                <c:pt idx="10">
                  <c:v>1/14/2021</c:v>
                </c:pt>
                <c:pt idx="11">
                  <c:v>1/15/2021</c:v>
                </c:pt>
                <c:pt idx="12">
                  <c:v>1/16/2021</c:v>
                </c:pt>
                <c:pt idx="13">
                  <c:v>1/17/2021</c:v>
                </c:pt>
                <c:pt idx="14">
                  <c:v>1/18/2021</c:v>
                </c:pt>
                <c:pt idx="15">
                  <c:v>1/19/2021</c:v>
                </c:pt>
                <c:pt idx="16">
                  <c:v>1/20/2021</c:v>
                </c:pt>
                <c:pt idx="17">
                  <c:v>1/21/2021</c:v>
                </c:pt>
                <c:pt idx="18">
                  <c:v>1/22/2021</c:v>
                </c:pt>
                <c:pt idx="19">
                  <c:v>1/23/2021</c:v>
                </c:pt>
                <c:pt idx="20">
                  <c:v>1/24/2021</c:v>
                </c:pt>
                <c:pt idx="21">
                  <c:v>1/25/2021</c:v>
                </c:pt>
                <c:pt idx="22">
                  <c:v>1/26/2021</c:v>
                </c:pt>
                <c:pt idx="23">
                  <c:v>1/27/2021</c:v>
                </c:pt>
                <c:pt idx="24">
                  <c:v>1/28/2021</c:v>
                </c:pt>
                <c:pt idx="25">
                  <c:v>1/29/2021</c:v>
                </c:pt>
                <c:pt idx="26">
                  <c:v>1/30/2021</c:v>
                </c:pt>
                <c:pt idx="27">
                  <c:v>1/31/2021</c:v>
                </c:pt>
                <c:pt idx="28">
                  <c:v>2/1/2021</c:v>
                </c:pt>
                <c:pt idx="29">
                  <c:v>2/2/2021</c:v>
                </c:pt>
                <c:pt idx="30">
                  <c:v>2/3/2021</c:v>
                </c:pt>
                <c:pt idx="31">
                  <c:v>2/4/2021</c:v>
                </c:pt>
                <c:pt idx="32">
                  <c:v>2/5/2021</c:v>
                </c:pt>
                <c:pt idx="33">
                  <c:v>2/6/2021</c:v>
                </c:pt>
                <c:pt idx="34">
                  <c:v>2/7/2021</c:v>
                </c:pt>
                <c:pt idx="35">
                  <c:v>2/8/2021</c:v>
                </c:pt>
                <c:pt idx="36">
                  <c:v>2/9/2021</c:v>
                </c:pt>
                <c:pt idx="37">
                  <c:v>2/10/2021</c:v>
                </c:pt>
                <c:pt idx="38">
                  <c:v>2/11/2021</c:v>
                </c:pt>
                <c:pt idx="39">
                  <c:v>2/12/2021</c:v>
                </c:pt>
                <c:pt idx="40">
                  <c:v>2/13/2021</c:v>
                </c:pt>
                <c:pt idx="41">
                  <c:v>2/14/2021</c:v>
                </c:pt>
                <c:pt idx="42">
                  <c:v>2/15/2021</c:v>
                </c:pt>
                <c:pt idx="43">
                  <c:v>2/16/2021</c:v>
                </c:pt>
                <c:pt idx="44">
                  <c:v>2/17/2021</c:v>
                </c:pt>
                <c:pt idx="45">
                  <c:v>2/18/2021</c:v>
                </c:pt>
                <c:pt idx="46">
                  <c:v>2/19/2021</c:v>
                </c:pt>
                <c:pt idx="47">
                  <c:v>2/20/2021</c:v>
                </c:pt>
                <c:pt idx="48">
                  <c:v>2/21/2021</c:v>
                </c:pt>
                <c:pt idx="49">
                  <c:v>2/22/2021</c:v>
                </c:pt>
                <c:pt idx="50">
                  <c:v>2/23/2021</c:v>
                </c:pt>
                <c:pt idx="51">
                  <c:v>2/24/2021</c:v>
                </c:pt>
                <c:pt idx="52">
                  <c:v>2/25/2021</c:v>
                </c:pt>
                <c:pt idx="53">
                  <c:v>2/26/2021</c:v>
                </c:pt>
                <c:pt idx="54">
                  <c:v>2/27/2021</c:v>
                </c:pt>
                <c:pt idx="55">
                  <c:v>2/28/2021</c:v>
                </c:pt>
                <c:pt idx="56">
                  <c:v>3/1/2021</c:v>
                </c:pt>
                <c:pt idx="57">
                  <c:v>3/2/2021</c:v>
                </c:pt>
                <c:pt idx="58">
                  <c:v>3/3/2021</c:v>
                </c:pt>
                <c:pt idx="59">
                  <c:v>3/4/2021</c:v>
                </c:pt>
                <c:pt idx="60">
                  <c:v>3/5/2021</c:v>
                </c:pt>
                <c:pt idx="61">
                  <c:v>3/6/2021</c:v>
                </c:pt>
                <c:pt idx="62">
                  <c:v>3/7/2021</c:v>
                </c:pt>
                <c:pt idx="63">
                  <c:v>3/8/2021</c:v>
                </c:pt>
                <c:pt idx="64">
                  <c:v>3/9/2021</c:v>
                </c:pt>
                <c:pt idx="65">
                  <c:v>3/10/2021</c:v>
                </c:pt>
                <c:pt idx="66">
                  <c:v>3/11/2021</c:v>
                </c:pt>
                <c:pt idx="67">
                  <c:v>3/12/2021</c:v>
                </c:pt>
                <c:pt idx="68">
                  <c:v>3/13/2021</c:v>
                </c:pt>
                <c:pt idx="69">
                  <c:v>3/14/2021</c:v>
                </c:pt>
                <c:pt idx="70">
                  <c:v>3/15/2021</c:v>
                </c:pt>
                <c:pt idx="71">
                  <c:v>3/16/2021</c:v>
                </c:pt>
                <c:pt idx="72">
                  <c:v>3/17/2021</c:v>
                </c:pt>
                <c:pt idx="73">
                  <c:v>3/18/2021</c:v>
                </c:pt>
                <c:pt idx="74">
                  <c:v>3/19/2021</c:v>
                </c:pt>
                <c:pt idx="75">
                  <c:v>3/20/2021</c:v>
                </c:pt>
                <c:pt idx="76">
                  <c:v>3/21/2021</c:v>
                </c:pt>
                <c:pt idx="77">
                  <c:v>3/22/2021</c:v>
                </c:pt>
                <c:pt idx="78">
                  <c:v>3/23/2021</c:v>
                </c:pt>
                <c:pt idx="79">
                  <c:v>3/24/2021</c:v>
                </c:pt>
                <c:pt idx="80">
                  <c:v>3/25/2021</c:v>
                </c:pt>
                <c:pt idx="81">
                  <c:v>3/26/2021</c:v>
                </c:pt>
                <c:pt idx="82">
                  <c:v>3/27/2021</c:v>
                </c:pt>
                <c:pt idx="83">
                  <c:v>3/28/2021</c:v>
                </c:pt>
                <c:pt idx="84">
                  <c:v>3/29/2021</c:v>
                </c:pt>
                <c:pt idx="85">
                  <c:v>3/30/2021</c:v>
                </c:pt>
                <c:pt idx="86">
                  <c:v>3/31/2021</c:v>
                </c:pt>
                <c:pt idx="87">
                  <c:v>4/1/2021</c:v>
                </c:pt>
                <c:pt idx="88">
                  <c:v>4/2/2021</c:v>
                </c:pt>
                <c:pt idx="89">
                  <c:v>4/3/2021</c:v>
                </c:pt>
                <c:pt idx="90">
                  <c:v>4/4/2021</c:v>
                </c:pt>
                <c:pt idx="91">
                  <c:v>4/5/2021</c:v>
                </c:pt>
                <c:pt idx="92">
                  <c:v>4/6/2021</c:v>
                </c:pt>
                <c:pt idx="93">
                  <c:v>4/7/2021</c:v>
                </c:pt>
                <c:pt idx="94">
                  <c:v>4/8/2021</c:v>
                </c:pt>
                <c:pt idx="95">
                  <c:v>4/9/2021</c:v>
                </c:pt>
                <c:pt idx="96">
                  <c:v>4/10/2021</c:v>
                </c:pt>
                <c:pt idx="97">
                  <c:v>4/11/2021</c:v>
                </c:pt>
                <c:pt idx="98">
                  <c:v>4/12/2021</c:v>
                </c:pt>
                <c:pt idx="99">
                  <c:v>4/13/2021</c:v>
                </c:pt>
                <c:pt idx="100">
                  <c:v>4/14/2021</c:v>
                </c:pt>
                <c:pt idx="101">
                  <c:v>4/15/2021</c:v>
                </c:pt>
                <c:pt idx="102">
                  <c:v>4/16/2021</c:v>
                </c:pt>
                <c:pt idx="103">
                  <c:v>4/17/2021</c:v>
                </c:pt>
                <c:pt idx="104">
                  <c:v>4/18/2021</c:v>
                </c:pt>
                <c:pt idx="105">
                  <c:v>4/19/2021</c:v>
                </c:pt>
                <c:pt idx="106">
                  <c:v>4/20/2021</c:v>
                </c:pt>
                <c:pt idx="107">
                  <c:v>4/21/2021</c:v>
                </c:pt>
                <c:pt idx="108">
                  <c:v>4/22/2021</c:v>
                </c:pt>
                <c:pt idx="109">
                  <c:v>4/23/2021</c:v>
                </c:pt>
                <c:pt idx="110">
                  <c:v>4/24/2021</c:v>
                </c:pt>
                <c:pt idx="111">
                  <c:v>4/25/2021</c:v>
                </c:pt>
                <c:pt idx="112">
                  <c:v>4/26/2021</c:v>
                </c:pt>
                <c:pt idx="113">
                  <c:v>4/27/2021</c:v>
                </c:pt>
                <c:pt idx="114">
                  <c:v>4/28/2021</c:v>
                </c:pt>
                <c:pt idx="115">
                  <c:v>4/29/2021</c:v>
                </c:pt>
                <c:pt idx="116">
                  <c:v>4/30/2021</c:v>
                </c:pt>
                <c:pt idx="117">
                  <c:v>5/1/2021</c:v>
                </c:pt>
                <c:pt idx="118">
                  <c:v>5/2/2021</c:v>
                </c:pt>
                <c:pt idx="119">
                  <c:v>5/3/2021</c:v>
                </c:pt>
                <c:pt idx="120">
                  <c:v>5/4/2021</c:v>
                </c:pt>
                <c:pt idx="121">
                  <c:v>5/5/2021</c:v>
                </c:pt>
                <c:pt idx="122">
                  <c:v>5/6/2021</c:v>
                </c:pt>
                <c:pt idx="123">
                  <c:v>5/7/2021</c:v>
                </c:pt>
                <c:pt idx="124">
                  <c:v>5/8/2021</c:v>
                </c:pt>
                <c:pt idx="125">
                  <c:v>5/9/2021</c:v>
                </c:pt>
                <c:pt idx="126">
                  <c:v>5/10/2021</c:v>
                </c:pt>
                <c:pt idx="127">
                  <c:v>5/11/2021</c:v>
                </c:pt>
                <c:pt idx="128">
                  <c:v>5/12/2021</c:v>
                </c:pt>
                <c:pt idx="129">
                  <c:v>5/13/2021</c:v>
                </c:pt>
                <c:pt idx="130">
                  <c:v>5/14/2021</c:v>
                </c:pt>
                <c:pt idx="131">
                  <c:v>5/15/2021</c:v>
                </c:pt>
                <c:pt idx="132">
                  <c:v>5/16/2021</c:v>
                </c:pt>
                <c:pt idx="133">
                  <c:v>5/17/2021</c:v>
                </c:pt>
                <c:pt idx="134">
                  <c:v>5/18/2021</c:v>
                </c:pt>
                <c:pt idx="135">
                  <c:v>5/19/2021</c:v>
                </c:pt>
                <c:pt idx="136">
                  <c:v>5/20/2021</c:v>
                </c:pt>
                <c:pt idx="137">
                  <c:v>5/21/2021</c:v>
                </c:pt>
                <c:pt idx="138">
                  <c:v>5/22/2021</c:v>
                </c:pt>
                <c:pt idx="139">
                  <c:v>5/23/2021</c:v>
                </c:pt>
                <c:pt idx="140">
                  <c:v>5/24/2021</c:v>
                </c:pt>
                <c:pt idx="141">
                  <c:v>5/25/2021</c:v>
                </c:pt>
                <c:pt idx="142">
                  <c:v>5/26/2021</c:v>
                </c:pt>
                <c:pt idx="143">
                  <c:v>5/27/2021</c:v>
                </c:pt>
                <c:pt idx="144">
                  <c:v>5/28/2021</c:v>
                </c:pt>
                <c:pt idx="145">
                  <c:v>5/29/2021</c:v>
                </c:pt>
                <c:pt idx="146">
                  <c:v>5/30/2021</c:v>
                </c:pt>
                <c:pt idx="147">
                  <c:v>5/31/2021</c:v>
                </c:pt>
                <c:pt idx="148">
                  <c:v>6/1/2021</c:v>
                </c:pt>
                <c:pt idx="149">
                  <c:v>6/2/2021</c:v>
                </c:pt>
                <c:pt idx="150">
                  <c:v>6/3/2021</c:v>
                </c:pt>
                <c:pt idx="151">
                  <c:v>6/4/2021</c:v>
                </c:pt>
                <c:pt idx="152">
                  <c:v>6/5/2021</c:v>
                </c:pt>
                <c:pt idx="153">
                  <c:v>6/6/2021</c:v>
                </c:pt>
                <c:pt idx="154">
                  <c:v>6/7/2021</c:v>
                </c:pt>
                <c:pt idx="155">
                  <c:v>6/8/2021</c:v>
                </c:pt>
                <c:pt idx="156">
                  <c:v>6/9/2021</c:v>
                </c:pt>
                <c:pt idx="157">
                  <c:v>6/10/2021</c:v>
                </c:pt>
                <c:pt idx="158">
                  <c:v>6/11/2021</c:v>
                </c:pt>
                <c:pt idx="159">
                  <c:v>6/12/2021</c:v>
                </c:pt>
                <c:pt idx="160">
                  <c:v>6/13/2021</c:v>
                </c:pt>
                <c:pt idx="161">
                  <c:v>6/14/2021</c:v>
                </c:pt>
                <c:pt idx="162">
                  <c:v>6/15/2021</c:v>
                </c:pt>
                <c:pt idx="163">
                  <c:v>6/16/2021</c:v>
                </c:pt>
                <c:pt idx="164">
                  <c:v>6/17/2021</c:v>
                </c:pt>
                <c:pt idx="165">
                  <c:v>6/18/2021</c:v>
                </c:pt>
                <c:pt idx="166">
                  <c:v>6/19/2021</c:v>
                </c:pt>
                <c:pt idx="167">
                  <c:v>6/20/2021</c:v>
                </c:pt>
                <c:pt idx="168">
                  <c:v>6/21/2021</c:v>
                </c:pt>
                <c:pt idx="169">
                  <c:v>6/22/2021</c:v>
                </c:pt>
                <c:pt idx="170">
                  <c:v>6/23/2021</c:v>
                </c:pt>
                <c:pt idx="171">
                  <c:v>6/24/2021</c:v>
                </c:pt>
                <c:pt idx="172">
                  <c:v>6/25/2021</c:v>
                </c:pt>
                <c:pt idx="173">
                  <c:v>6/26/2021</c:v>
                </c:pt>
                <c:pt idx="174">
                  <c:v>6/27/2021</c:v>
                </c:pt>
                <c:pt idx="175">
                  <c:v>6/28/2021</c:v>
                </c:pt>
                <c:pt idx="176">
                  <c:v>6/29/2021</c:v>
                </c:pt>
                <c:pt idx="177">
                  <c:v>6/30/2021</c:v>
                </c:pt>
                <c:pt idx="178">
                  <c:v>7/1/2021</c:v>
                </c:pt>
                <c:pt idx="179">
                  <c:v>7/2/2021</c:v>
                </c:pt>
                <c:pt idx="180">
                  <c:v>7/3/2021</c:v>
                </c:pt>
                <c:pt idx="181">
                  <c:v>7/4/2021</c:v>
                </c:pt>
                <c:pt idx="182">
                  <c:v>7/5/2021</c:v>
                </c:pt>
                <c:pt idx="183">
                  <c:v>7/6/2021</c:v>
                </c:pt>
                <c:pt idx="184">
                  <c:v>7/7/2021</c:v>
                </c:pt>
                <c:pt idx="185">
                  <c:v>7/8/2021</c:v>
                </c:pt>
                <c:pt idx="186">
                  <c:v>7/9/2021</c:v>
                </c:pt>
                <c:pt idx="187">
                  <c:v>7/10/2021</c:v>
                </c:pt>
                <c:pt idx="188">
                  <c:v>7/11/2021</c:v>
                </c:pt>
                <c:pt idx="189">
                  <c:v>7/12/2021</c:v>
                </c:pt>
                <c:pt idx="190">
                  <c:v>7/13/2021</c:v>
                </c:pt>
                <c:pt idx="191">
                  <c:v>7/14/2021</c:v>
                </c:pt>
                <c:pt idx="192">
                  <c:v>7/15/2021</c:v>
                </c:pt>
                <c:pt idx="193">
                  <c:v>7/16/2021</c:v>
                </c:pt>
                <c:pt idx="194">
                  <c:v>7/17/2021</c:v>
                </c:pt>
                <c:pt idx="195">
                  <c:v>7/18/2021</c:v>
                </c:pt>
                <c:pt idx="196">
                  <c:v>7/19/2021</c:v>
                </c:pt>
                <c:pt idx="197">
                  <c:v>7/20/2021</c:v>
                </c:pt>
                <c:pt idx="198">
                  <c:v>7/21/2021</c:v>
                </c:pt>
                <c:pt idx="199">
                  <c:v>7/22/2021</c:v>
                </c:pt>
                <c:pt idx="200">
                  <c:v>7/23/2021</c:v>
                </c:pt>
                <c:pt idx="201">
                  <c:v>7/24/2021</c:v>
                </c:pt>
                <c:pt idx="202">
                  <c:v>7/25/2021</c:v>
                </c:pt>
                <c:pt idx="203">
                  <c:v>7/26/2021</c:v>
                </c:pt>
                <c:pt idx="204">
                  <c:v>7/27/2021</c:v>
                </c:pt>
                <c:pt idx="205">
                  <c:v>7/28/2021</c:v>
                </c:pt>
                <c:pt idx="206">
                  <c:v>7/29/2021</c:v>
                </c:pt>
                <c:pt idx="207">
                  <c:v>7/30/2021</c:v>
                </c:pt>
                <c:pt idx="208">
                  <c:v>7/31/2021</c:v>
                </c:pt>
                <c:pt idx="209">
                  <c:v>8/1/2021</c:v>
                </c:pt>
                <c:pt idx="210">
                  <c:v>8/2/2021</c:v>
                </c:pt>
                <c:pt idx="211">
                  <c:v>8/3/2021</c:v>
                </c:pt>
                <c:pt idx="212">
                  <c:v>8/4/2021</c:v>
                </c:pt>
                <c:pt idx="213">
                  <c:v>8/5/2021</c:v>
                </c:pt>
                <c:pt idx="214">
                  <c:v>8/6/2021</c:v>
                </c:pt>
                <c:pt idx="215">
                  <c:v>8/7/2021</c:v>
                </c:pt>
                <c:pt idx="216">
                  <c:v>8/8/2021</c:v>
                </c:pt>
                <c:pt idx="217">
                  <c:v>8/9/2021</c:v>
                </c:pt>
                <c:pt idx="218">
                  <c:v>8/10/2021</c:v>
                </c:pt>
                <c:pt idx="219">
                  <c:v>8/11/2021</c:v>
                </c:pt>
                <c:pt idx="220">
                  <c:v>8/12/2021</c:v>
                </c:pt>
                <c:pt idx="221">
                  <c:v>8/13/2021</c:v>
                </c:pt>
                <c:pt idx="222">
                  <c:v>8/14/2021</c:v>
                </c:pt>
                <c:pt idx="223">
                  <c:v>8/15/2021</c:v>
                </c:pt>
                <c:pt idx="224">
                  <c:v>8/16/2021</c:v>
                </c:pt>
                <c:pt idx="225">
                  <c:v>8/17/2021</c:v>
                </c:pt>
                <c:pt idx="226">
                  <c:v>8/18/2021</c:v>
                </c:pt>
                <c:pt idx="227">
                  <c:v>8/19/2021</c:v>
                </c:pt>
                <c:pt idx="228">
                  <c:v>8/20/2021</c:v>
                </c:pt>
                <c:pt idx="229">
                  <c:v>8/21/2021</c:v>
                </c:pt>
                <c:pt idx="230">
                  <c:v>8/22/2021</c:v>
                </c:pt>
                <c:pt idx="231">
                  <c:v>8/23/2021</c:v>
                </c:pt>
                <c:pt idx="232">
                  <c:v>8/24/2021</c:v>
                </c:pt>
                <c:pt idx="233">
                  <c:v>8/25/2021</c:v>
                </c:pt>
                <c:pt idx="234">
                  <c:v>8/26/2021</c:v>
                </c:pt>
                <c:pt idx="235">
                  <c:v>8/27/2021</c:v>
                </c:pt>
                <c:pt idx="236">
                  <c:v>8/28/2021</c:v>
                </c:pt>
                <c:pt idx="237">
                  <c:v>8/29/2021</c:v>
                </c:pt>
                <c:pt idx="238">
                  <c:v>8/30/2021</c:v>
                </c:pt>
                <c:pt idx="239">
                  <c:v>8/31/2021</c:v>
                </c:pt>
                <c:pt idx="240">
                  <c:v>9/1/2021</c:v>
                </c:pt>
                <c:pt idx="241">
                  <c:v>9/2/2021</c:v>
                </c:pt>
                <c:pt idx="242">
                  <c:v>9/3/2021</c:v>
                </c:pt>
                <c:pt idx="243">
                  <c:v>9/4/2021</c:v>
                </c:pt>
                <c:pt idx="244">
                  <c:v>9/5/2021</c:v>
                </c:pt>
                <c:pt idx="245">
                  <c:v>9/6/2021</c:v>
                </c:pt>
                <c:pt idx="246">
                  <c:v>9/7/2021</c:v>
                </c:pt>
                <c:pt idx="247">
                  <c:v>9/8/2021</c:v>
                </c:pt>
                <c:pt idx="248">
                  <c:v>9/9/2021</c:v>
                </c:pt>
                <c:pt idx="249">
                  <c:v>9/10/2021</c:v>
                </c:pt>
                <c:pt idx="250">
                  <c:v>9/11/2021</c:v>
                </c:pt>
                <c:pt idx="251">
                  <c:v>9/12/2021</c:v>
                </c:pt>
                <c:pt idx="252">
                  <c:v>9/13/2021</c:v>
                </c:pt>
                <c:pt idx="253">
                  <c:v>9/14/2021</c:v>
                </c:pt>
                <c:pt idx="254">
                  <c:v>9/15/2021</c:v>
                </c:pt>
                <c:pt idx="255">
                  <c:v>9/16/2021</c:v>
                </c:pt>
                <c:pt idx="256">
                  <c:v>9/17/2021</c:v>
                </c:pt>
                <c:pt idx="257">
                  <c:v>9/18/2021</c:v>
                </c:pt>
                <c:pt idx="258">
                  <c:v>9/19/2021</c:v>
                </c:pt>
                <c:pt idx="259">
                  <c:v>9/20/2021</c:v>
                </c:pt>
                <c:pt idx="260">
                  <c:v>9/21/2021</c:v>
                </c:pt>
                <c:pt idx="261">
                  <c:v>9/22/2021</c:v>
                </c:pt>
                <c:pt idx="262">
                  <c:v>9/23/2021</c:v>
                </c:pt>
                <c:pt idx="263">
                  <c:v>9/24/2021</c:v>
                </c:pt>
                <c:pt idx="264">
                  <c:v>9/25/2021</c:v>
                </c:pt>
                <c:pt idx="265">
                  <c:v>9/26/2021</c:v>
                </c:pt>
                <c:pt idx="266">
                  <c:v>9/27/2021</c:v>
                </c:pt>
                <c:pt idx="267">
                  <c:v>9/28/2021</c:v>
                </c:pt>
                <c:pt idx="268">
                  <c:v>9/29/2021</c:v>
                </c:pt>
                <c:pt idx="269">
                  <c:v>9/30/2021</c:v>
                </c:pt>
                <c:pt idx="270">
                  <c:v>10/1/2021</c:v>
                </c:pt>
                <c:pt idx="271">
                  <c:v>10/2/2021</c:v>
                </c:pt>
                <c:pt idx="272">
                  <c:v>10/3/2021</c:v>
                </c:pt>
                <c:pt idx="273">
                  <c:v>10/4/2021</c:v>
                </c:pt>
                <c:pt idx="274">
                  <c:v>10/5/2021</c:v>
                </c:pt>
                <c:pt idx="275">
                  <c:v>10/6/2021</c:v>
                </c:pt>
                <c:pt idx="276">
                  <c:v>10/7/2021</c:v>
                </c:pt>
                <c:pt idx="277">
                  <c:v>10/8/2021</c:v>
                </c:pt>
                <c:pt idx="278">
                  <c:v>10/9/2021</c:v>
                </c:pt>
                <c:pt idx="279">
                  <c:v>10/10/2021</c:v>
                </c:pt>
                <c:pt idx="280">
                  <c:v>10/11/2021</c:v>
                </c:pt>
                <c:pt idx="281">
                  <c:v>10/12/2021</c:v>
                </c:pt>
                <c:pt idx="282">
                  <c:v>10/13/2021</c:v>
                </c:pt>
                <c:pt idx="283">
                  <c:v>10/14/2021</c:v>
                </c:pt>
                <c:pt idx="284">
                  <c:v>10/15/2021</c:v>
                </c:pt>
                <c:pt idx="285">
                  <c:v>10/16/2021</c:v>
                </c:pt>
                <c:pt idx="286">
                  <c:v>10/17/2021</c:v>
                </c:pt>
                <c:pt idx="287">
                  <c:v>10/18/2021</c:v>
                </c:pt>
                <c:pt idx="288">
                  <c:v>10/19/2021</c:v>
                </c:pt>
                <c:pt idx="289">
                  <c:v>10/20/2021</c:v>
                </c:pt>
                <c:pt idx="290">
                  <c:v>10/21/2021</c:v>
                </c:pt>
                <c:pt idx="291">
                  <c:v>10/22/2021</c:v>
                </c:pt>
                <c:pt idx="292">
                  <c:v>10/23/2021</c:v>
                </c:pt>
                <c:pt idx="293">
                  <c:v>10/24/2021</c:v>
                </c:pt>
                <c:pt idx="294">
                  <c:v>10/25/2021</c:v>
                </c:pt>
                <c:pt idx="295">
                  <c:v>10/26/2021</c:v>
                </c:pt>
                <c:pt idx="296">
                  <c:v>10/27/2021</c:v>
                </c:pt>
                <c:pt idx="297">
                  <c:v>10/28/2021</c:v>
                </c:pt>
                <c:pt idx="298">
                  <c:v>10/29/2021</c:v>
                </c:pt>
                <c:pt idx="299">
                  <c:v>10/30/2021</c:v>
                </c:pt>
                <c:pt idx="300">
                  <c:v>10/31/2021</c:v>
                </c:pt>
                <c:pt idx="301">
                  <c:v>11/1/2021</c:v>
                </c:pt>
                <c:pt idx="302">
                  <c:v>11/2/2021</c:v>
                </c:pt>
                <c:pt idx="303">
                  <c:v>11/3/2021</c:v>
                </c:pt>
                <c:pt idx="304">
                  <c:v>11/4/2021</c:v>
                </c:pt>
                <c:pt idx="305">
                  <c:v>11/5/2021</c:v>
                </c:pt>
                <c:pt idx="306">
                  <c:v>11/6/2021</c:v>
                </c:pt>
                <c:pt idx="307">
                  <c:v>11/7/2021</c:v>
                </c:pt>
                <c:pt idx="308">
                  <c:v>11/8/2021</c:v>
                </c:pt>
                <c:pt idx="309">
                  <c:v>11/9/2021</c:v>
                </c:pt>
                <c:pt idx="310">
                  <c:v>11/10/2021</c:v>
                </c:pt>
                <c:pt idx="311">
                  <c:v>11/11/2021</c:v>
                </c:pt>
                <c:pt idx="312">
                  <c:v>11/12/2021</c:v>
                </c:pt>
                <c:pt idx="313">
                  <c:v>11/13/2021</c:v>
                </c:pt>
                <c:pt idx="314">
                  <c:v>11/14/2021</c:v>
                </c:pt>
                <c:pt idx="315">
                  <c:v>11/15/2021</c:v>
                </c:pt>
                <c:pt idx="316">
                  <c:v>11/16/2021</c:v>
                </c:pt>
                <c:pt idx="317">
                  <c:v>11/17/2021</c:v>
                </c:pt>
                <c:pt idx="318">
                  <c:v>11/18/2021</c:v>
                </c:pt>
                <c:pt idx="319">
                  <c:v>11/19/2021</c:v>
                </c:pt>
                <c:pt idx="320">
                  <c:v>11/20/2021</c:v>
                </c:pt>
                <c:pt idx="321">
                  <c:v>11/21/2021</c:v>
                </c:pt>
                <c:pt idx="322">
                  <c:v>11/22/2021</c:v>
                </c:pt>
                <c:pt idx="323">
                  <c:v>11/23/2021</c:v>
                </c:pt>
                <c:pt idx="324">
                  <c:v>11/24/2021</c:v>
                </c:pt>
                <c:pt idx="325">
                  <c:v>11/25/2021</c:v>
                </c:pt>
                <c:pt idx="326">
                  <c:v>11/26/2021</c:v>
                </c:pt>
                <c:pt idx="327">
                  <c:v>11/27/2021</c:v>
                </c:pt>
                <c:pt idx="328">
                  <c:v>11/28/2021</c:v>
                </c:pt>
                <c:pt idx="329">
                  <c:v>11/29/2021</c:v>
                </c:pt>
                <c:pt idx="330">
                  <c:v>11/30/2021</c:v>
                </c:pt>
                <c:pt idx="331">
                  <c:v>12/1/2021</c:v>
                </c:pt>
                <c:pt idx="332">
                  <c:v>12/2/2021</c:v>
                </c:pt>
                <c:pt idx="333">
                  <c:v>12/3/2021</c:v>
                </c:pt>
                <c:pt idx="334">
                  <c:v>12/4/2021</c:v>
                </c:pt>
                <c:pt idx="335">
                  <c:v>12/5/2021</c:v>
                </c:pt>
                <c:pt idx="336">
                  <c:v>12/6/2021</c:v>
                </c:pt>
                <c:pt idx="337">
                  <c:v>12/7/2021</c:v>
                </c:pt>
                <c:pt idx="338">
                  <c:v>12/8/2021</c:v>
                </c:pt>
                <c:pt idx="339">
                  <c:v>12/9/2021</c:v>
                </c:pt>
                <c:pt idx="340">
                  <c:v>12/10/2021</c:v>
                </c:pt>
                <c:pt idx="341">
                  <c:v>12/11/2021</c:v>
                </c:pt>
                <c:pt idx="342">
                  <c:v>12/12/2021</c:v>
                </c:pt>
                <c:pt idx="343">
                  <c:v>12/13/2021</c:v>
                </c:pt>
                <c:pt idx="344">
                  <c:v>12/14/2021</c:v>
                </c:pt>
                <c:pt idx="345">
                  <c:v>12/15/2021</c:v>
                </c:pt>
                <c:pt idx="346">
                  <c:v>12/16/2021</c:v>
                </c:pt>
                <c:pt idx="347">
                  <c:v>12/17/2021</c:v>
                </c:pt>
                <c:pt idx="348">
                  <c:v>12/18/2021</c:v>
                </c:pt>
                <c:pt idx="349">
                  <c:v>12/19/2021</c:v>
                </c:pt>
                <c:pt idx="350">
                  <c:v>12/20/2021</c:v>
                </c:pt>
                <c:pt idx="351">
                  <c:v>12/21/2021</c:v>
                </c:pt>
                <c:pt idx="352">
                  <c:v>12/22/2021</c:v>
                </c:pt>
                <c:pt idx="353">
                  <c:v>12/23/2021</c:v>
                </c:pt>
                <c:pt idx="354">
                  <c:v>12/24/2021</c:v>
                </c:pt>
                <c:pt idx="355">
                  <c:v>12/25/2021</c:v>
                </c:pt>
                <c:pt idx="356">
                  <c:v>12/26/2021</c:v>
                </c:pt>
                <c:pt idx="357">
                  <c:v>12/27/2021</c:v>
                </c:pt>
                <c:pt idx="358">
                  <c:v>12/28/2021</c:v>
                </c:pt>
                <c:pt idx="359">
                  <c:v>12/29/2021</c:v>
                </c:pt>
                <c:pt idx="360">
                  <c:v>12/30/2021</c:v>
                </c:pt>
                <c:pt idx="361">
                  <c:v>12/31/2021</c:v>
                </c:pt>
              </c:strCache>
            </c:strRef>
          </c:cat>
          <c:val>
            <c:numRef>
              <c:f>EDA!$G$3:$G$365</c:f>
              <c:numCache>
                <c:formatCode>General</c:formatCode>
                <c:ptCount val="362"/>
                <c:pt idx="0">
                  <c:v>33669</c:v>
                </c:pt>
                <c:pt idx="1">
                  <c:v>34536.29</c:v>
                </c:pt>
                <c:pt idx="2">
                  <c:v>37824.480000000003</c:v>
                </c:pt>
                <c:pt idx="3">
                  <c:v>40396</c:v>
                </c:pt>
                <c:pt idx="4">
                  <c:v>41999.99</c:v>
                </c:pt>
                <c:pt idx="5">
                  <c:v>41470.21</c:v>
                </c:pt>
                <c:pt idx="6">
                  <c:v>41196.620000000003</c:v>
                </c:pt>
                <c:pt idx="7">
                  <c:v>36323.25</c:v>
                </c:pt>
                <c:pt idx="8">
                  <c:v>36651.339999999997</c:v>
                </c:pt>
                <c:pt idx="9">
                  <c:v>38188.33</c:v>
                </c:pt>
                <c:pt idx="10">
                  <c:v>40112.79</c:v>
                </c:pt>
                <c:pt idx="11">
                  <c:v>38849.96</c:v>
                </c:pt>
                <c:pt idx="12">
                  <c:v>37949.71</c:v>
                </c:pt>
                <c:pt idx="13">
                  <c:v>36840.11</c:v>
                </c:pt>
                <c:pt idx="14">
                  <c:v>37469.21</c:v>
                </c:pt>
                <c:pt idx="15">
                  <c:v>37934.199999999997</c:v>
                </c:pt>
                <c:pt idx="16">
                  <c:v>35964.949999999997</c:v>
                </c:pt>
                <c:pt idx="17">
                  <c:v>35000</c:v>
                </c:pt>
                <c:pt idx="18">
                  <c:v>33880</c:v>
                </c:pt>
                <c:pt idx="19">
                  <c:v>33479.49</c:v>
                </c:pt>
                <c:pt idx="20">
                  <c:v>33672.18</c:v>
                </c:pt>
                <c:pt idx="21">
                  <c:v>34885.56</c:v>
                </c:pt>
                <c:pt idx="22">
                  <c:v>32951</c:v>
                </c:pt>
                <c:pt idx="23">
                  <c:v>32059.73</c:v>
                </c:pt>
                <c:pt idx="24">
                  <c:v>34671.769999999997</c:v>
                </c:pt>
                <c:pt idx="25">
                  <c:v>38665.71</c:v>
                </c:pt>
                <c:pt idx="26">
                  <c:v>34805.65</c:v>
                </c:pt>
                <c:pt idx="27">
                  <c:v>34205</c:v>
                </c:pt>
                <c:pt idx="28">
                  <c:v>34700</c:v>
                </c:pt>
                <c:pt idx="29">
                  <c:v>36545.050000000003</c:v>
                </c:pt>
                <c:pt idx="30">
                  <c:v>38375</c:v>
                </c:pt>
                <c:pt idx="31">
                  <c:v>38785.99</c:v>
                </c:pt>
                <c:pt idx="32">
                  <c:v>39700</c:v>
                </c:pt>
                <c:pt idx="33">
                  <c:v>41000</c:v>
                </c:pt>
                <c:pt idx="34">
                  <c:v>39748.959999999999</c:v>
                </c:pt>
                <c:pt idx="35">
                  <c:v>47519.31</c:v>
                </c:pt>
                <c:pt idx="36">
                  <c:v>48201.23</c:v>
                </c:pt>
                <c:pt idx="37">
                  <c:v>47367.17</c:v>
                </c:pt>
                <c:pt idx="38">
                  <c:v>48975</c:v>
                </c:pt>
                <c:pt idx="39">
                  <c:v>48246.6</c:v>
                </c:pt>
                <c:pt idx="40">
                  <c:v>48027.3</c:v>
                </c:pt>
                <c:pt idx="41">
                  <c:v>49700</c:v>
                </c:pt>
                <c:pt idx="42">
                  <c:v>49600</c:v>
                </c:pt>
                <c:pt idx="43">
                  <c:v>50602.34</c:v>
                </c:pt>
                <c:pt idx="44">
                  <c:v>52668.45</c:v>
                </c:pt>
                <c:pt idx="45">
                  <c:v>52344</c:v>
                </c:pt>
                <c:pt idx="46">
                  <c:v>56605.599999999999</c:v>
                </c:pt>
                <c:pt idx="47">
                  <c:v>57500</c:v>
                </c:pt>
                <c:pt idx="48">
                  <c:v>58481.599999999999</c:v>
                </c:pt>
                <c:pt idx="49">
                  <c:v>56651.47</c:v>
                </c:pt>
                <c:pt idx="50">
                  <c:v>52294.87</c:v>
                </c:pt>
                <c:pt idx="51">
                  <c:v>51442.01</c:v>
                </c:pt>
                <c:pt idx="52">
                  <c:v>52074</c:v>
                </c:pt>
                <c:pt idx="53">
                  <c:v>48472.08</c:v>
                </c:pt>
                <c:pt idx="54">
                  <c:v>48380.14</c:v>
                </c:pt>
                <c:pt idx="55">
                  <c:v>46920</c:v>
                </c:pt>
                <c:pt idx="57">
                  <c:v>49757.22</c:v>
                </c:pt>
                <c:pt idx="58">
                  <c:v>52737.2</c:v>
                </c:pt>
                <c:pt idx="59">
                  <c:v>50754.39</c:v>
                </c:pt>
                <c:pt idx="60">
                  <c:v>49455.61</c:v>
                </c:pt>
                <c:pt idx="61">
                  <c:v>49915.73</c:v>
                </c:pt>
                <c:pt idx="62">
                  <c:v>51832.15</c:v>
                </c:pt>
                <c:pt idx="63">
                  <c:v>54126</c:v>
                </c:pt>
                <c:pt idx="64">
                  <c:v>55847.68</c:v>
                </c:pt>
                <c:pt idx="65">
                  <c:v>57400</c:v>
                </c:pt>
                <c:pt idx="66">
                  <c:v>58120</c:v>
                </c:pt>
                <c:pt idx="67">
                  <c:v>57959.22</c:v>
                </c:pt>
                <c:pt idx="68">
                  <c:v>61785</c:v>
                </c:pt>
                <c:pt idx="69">
                  <c:v>61500.82</c:v>
                </c:pt>
                <c:pt idx="70">
                  <c:v>60561.59</c:v>
                </c:pt>
                <c:pt idx="71">
                  <c:v>57185.78</c:v>
                </c:pt>
                <c:pt idx="72">
                  <c:v>59567.59</c:v>
                </c:pt>
                <c:pt idx="73">
                  <c:v>60099.99</c:v>
                </c:pt>
                <c:pt idx="74">
                  <c:v>59448.39</c:v>
                </c:pt>
                <c:pt idx="75">
                  <c:v>59880</c:v>
                </c:pt>
                <c:pt idx="76">
                  <c:v>58164.58</c:v>
                </c:pt>
                <c:pt idx="77">
                  <c:v>58445.36</c:v>
                </c:pt>
                <c:pt idx="78">
                  <c:v>55903.62</c:v>
                </c:pt>
                <c:pt idx="79">
                  <c:v>57245</c:v>
                </c:pt>
                <c:pt idx="80">
                  <c:v>53234.52</c:v>
                </c:pt>
                <c:pt idx="81">
                  <c:v>55627.21</c:v>
                </c:pt>
                <c:pt idx="82">
                  <c:v>56624.33</c:v>
                </c:pt>
                <c:pt idx="83">
                  <c:v>56576.23</c:v>
                </c:pt>
                <c:pt idx="84">
                  <c:v>58430.77</c:v>
                </c:pt>
                <c:pt idx="85">
                  <c:v>59385</c:v>
                </c:pt>
                <c:pt idx="86">
                  <c:v>59800</c:v>
                </c:pt>
                <c:pt idx="87">
                  <c:v>60100</c:v>
                </c:pt>
                <c:pt idx="88">
                  <c:v>59950</c:v>
                </c:pt>
                <c:pt idx="89">
                  <c:v>59851.519999999997</c:v>
                </c:pt>
                <c:pt idx="90">
                  <c:v>58500.94</c:v>
                </c:pt>
                <c:pt idx="91">
                  <c:v>59468.95</c:v>
                </c:pt>
                <c:pt idx="92">
                  <c:v>59028.19</c:v>
                </c:pt>
                <c:pt idx="93">
                  <c:v>58675.79</c:v>
                </c:pt>
                <c:pt idx="94">
                  <c:v>58400</c:v>
                </c:pt>
                <c:pt idx="95">
                  <c:v>59170</c:v>
                </c:pt>
                <c:pt idx="96">
                  <c:v>61180</c:v>
                </c:pt>
                <c:pt idx="97">
                  <c:v>60416.42</c:v>
                </c:pt>
                <c:pt idx="98">
                  <c:v>61197.09</c:v>
                </c:pt>
                <c:pt idx="99">
                  <c:v>63880</c:v>
                </c:pt>
                <c:pt idx="100">
                  <c:v>64900</c:v>
                </c:pt>
                <c:pt idx="101">
                  <c:v>63855.12</c:v>
                </c:pt>
                <c:pt idx="102">
                  <c:v>62998.68</c:v>
                </c:pt>
                <c:pt idx="103">
                  <c:v>62545.78</c:v>
                </c:pt>
                <c:pt idx="104">
                  <c:v>57404.04</c:v>
                </c:pt>
                <c:pt idx="105">
                  <c:v>57624.66</c:v>
                </c:pt>
                <c:pt idx="106">
                  <c:v>57145.34</c:v>
                </c:pt>
                <c:pt idx="107">
                  <c:v>56373</c:v>
                </c:pt>
                <c:pt idx="108">
                  <c:v>55499.99</c:v>
                </c:pt>
                <c:pt idx="109">
                  <c:v>51380.03</c:v>
                </c:pt>
                <c:pt idx="110">
                  <c:v>51150.01</c:v>
                </c:pt>
                <c:pt idx="111">
                  <c:v>52567.77</c:v>
                </c:pt>
                <c:pt idx="112">
                  <c:v>54419.57</c:v>
                </c:pt>
                <c:pt idx="113">
                  <c:v>55800</c:v>
                </c:pt>
                <c:pt idx="114">
                  <c:v>56474.720000000001</c:v>
                </c:pt>
                <c:pt idx="115">
                  <c:v>54755.360000000001</c:v>
                </c:pt>
                <c:pt idx="116">
                  <c:v>58553.71</c:v>
                </c:pt>
                <c:pt idx="117">
                  <c:v>300000</c:v>
                </c:pt>
                <c:pt idx="118">
                  <c:v>58293.35</c:v>
                </c:pt>
                <c:pt idx="119">
                  <c:v>58988.52</c:v>
                </c:pt>
                <c:pt idx="120">
                  <c:v>56659.5</c:v>
                </c:pt>
                <c:pt idx="121">
                  <c:v>57974.07</c:v>
                </c:pt>
                <c:pt idx="122">
                  <c:v>58465.93</c:v>
                </c:pt>
                <c:pt idx="123">
                  <c:v>58750</c:v>
                </c:pt>
                <c:pt idx="124">
                  <c:v>59560</c:v>
                </c:pt>
                <c:pt idx="125">
                  <c:v>59481.34</c:v>
                </c:pt>
                <c:pt idx="126">
                  <c:v>59584.99</c:v>
                </c:pt>
                <c:pt idx="127">
                  <c:v>57898</c:v>
                </c:pt>
                <c:pt idx="128">
                  <c:v>57998.26</c:v>
                </c:pt>
                <c:pt idx="129">
                  <c:v>51389.95</c:v>
                </c:pt>
                <c:pt idx="130">
                  <c:v>51575.16</c:v>
                </c:pt>
                <c:pt idx="131">
                  <c:v>49900</c:v>
                </c:pt>
                <c:pt idx="132">
                  <c:v>49790</c:v>
                </c:pt>
                <c:pt idx="133">
                  <c:v>45833.48</c:v>
                </c:pt>
                <c:pt idx="134">
                  <c:v>45860.17</c:v>
                </c:pt>
                <c:pt idx="135">
                  <c:v>40867.4</c:v>
                </c:pt>
                <c:pt idx="136">
                  <c:v>42625.43</c:v>
                </c:pt>
                <c:pt idx="137">
                  <c:v>41796.74</c:v>
                </c:pt>
                <c:pt idx="138">
                  <c:v>38861.15</c:v>
                </c:pt>
                <c:pt idx="139">
                  <c:v>37484.18</c:v>
                </c:pt>
                <c:pt idx="140">
                  <c:v>39953.65</c:v>
                </c:pt>
                <c:pt idx="141">
                  <c:v>39760.959999999999</c:v>
                </c:pt>
                <c:pt idx="142">
                  <c:v>40861.199999999997</c:v>
                </c:pt>
                <c:pt idx="143">
                  <c:v>40432.400000000001</c:v>
                </c:pt>
                <c:pt idx="144">
                  <c:v>38271.589999999997</c:v>
                </c:pt>
                <c:pt idx="145">
                  <c:v>37320</c:v>
                </c:pt>
                <c:pt idx="146">
                  <c:v>36523.24</c:v>
                </c:pt>
                <c:pt idx="147">
                  <c:v>37912.870000000003</c:v>
                </c:pt>
                <c:pt idx="148">
                  <c:v>37448.019999999997</c:v>
                </c:pt>
                <c:pt idx="149">
                  <c:v>38256.400000000001</c:v>
                </c:pt>
                <c:pt idx="150">
                  <c:v>39487.910000000003</c:v>
                </c:pt>
                <c:pt idx="151">
                  <c:v>37963.61</c:v>
                </c:pt>
                <c:pt idx="152">
                  <c:v>37918.57</c:v>
                </c:pt>
                <c:pt idx="153">
                  <c:v>36812.089999999997</c:v>
                </c:pt>
                <c:pt idx="154">
                  <c:v>36798.03</c:v>
                </c:pt>
                <c:pt idx="155">
                  <c:v>33841.46</c:v>
                </c:pt>
                <c:pt idx="156">
                  <c:v>37676.6</c:v>
                </c:pt>
                <c:pt idx="157">
                  <c:v>38437.019999999997</c:v>
                </c:pt>
                <c:pt idx="158">
                  <c:v>37690</c:v>
                </c:pt>
                <c:pt idx="159">
                  <c:v>36222.800000000003</c:v>
                </c:pt>
                <c:pt idx="160">
                  <c:v>39816.720000000001</c:v>
                </c:pt>
                <c:pt idx="161">
                  <c:v>41060.769999999997</c:v>
                </c:pt>
                <c:pt idx="162">
                  <c:v>41380.019999999997</c:v>
                </c:pt>
                <c:pt idx="163">
                  <c:v>40490.019999999997</c:v>
                </c:pt>
                <c:pt idx="164">
                  <c:v>39575.03</c:v>
                </c:pt>
                <c:pt idx="165">
                  <c:v>38129.089999999997</c:v>
                </c:pt>
                <c:pt idx="166">
                  <c:v>36464.629999999997</c:v>
                </c:pt>
                <c:pt idx="167">
                  <c:v>36128.129999999997</c:v>
                </c:pt>
                <c:pt idx="168">
                  <c:v>34702.68</c:v>
                </c:pt>
                <c:pt idx="169">
                  <c:v>34392.050000000003</c:v>
                </c:pt>
                <c:pt idx="170">
                  <c:v>34851.199999999997</c:v>
                </c:pt>
                <c:pt idx="171">
                  <c:v>35274.9</c:v>
                </c:pt>
                <c:pt idx="172">
                  <c:v>35100</c:v>
                </c:pt>
                <c:pt idx="173">
                  <c:v>33209.589999999997</c:v>
                </c:pt>
                <c:pt idx="174">
                  <c:v>34983.42</c:v>
                </c:pt>
                <c:pt idx="175">
                  <c:v>35286.03</c:v>
                </c:pt>
                <c:pt idx="176">
                  <c:v>36661.800000000003</c:v>
                </c:pt>
                <c:pt idx="177">
                  <c:v>35333.25</c:v>
                </c:pt>
                <c:pt idx="178">
                  <c:v>34475.550000000003</c:v>
                </c:pt>
                <c:pt idx="179">
                  <c:v>33926.449999999997</c:v>
                </c:pt>
                <c:pt idx="180">
                  <c:v>34942.559999999998</c:v>
                </c:pt>
                <c:pt idx="181">
                  <c:v>35985.71</c:v>
                </c:pt>
                <c:pt idx="182">
                  <c:v>34559.72</c:v>
                </c:pt>
                <c:pt idx="183">
                  <c:v>35114.32</c:v>
                </c:pt>
                <c:pt idx="184">
                  <c:v>35098.28</c:v>
                </c:pt>
                <c:pt idx="185">
                  <c:v>33493.24</c:v>
                </c:pt>
                <c:pt idx="186">
                  <c:v>34262.53</c:v>
                </c:pt>
                <c:pt idx="187">
                  <c:v>34195.26</c:v>
                </c:pt>
                <c:pt idx="188">
                  <c:v>34602</c:v>
                </c:pt>
                <c:pt idx="189">
                  <c:v>34670.21</c:v>
                </c:pt>
                <c:pt idx="190">
                  <c:v>33334.71</c:v>
                </c:pt>
                <c:pt idx="191">
                  <c:v>33189.99</c:v>
                </c:pt>
                <c:pt idx="192">
                  <c:v>32691.72</c:v>
                </c:pt>
                <c:pt idx="193">
                  <c:v>32252.21</c:v>
                </c:pt>
                <c:pt idx="194">
                  <c:v>32437.07</c:v>
                </c:pt>
                <c:pt idx="195">
                  <c:v>32200.55</c:v>
                </c:pt>
                <c:pt idx="196">
                  <c:v>31890.59</c:v>
                </c:pt>
                <c:pt idx="197">
                  <c:v>30005.72</c:v>
                </c:pt>
                <c:pt idx="198">
                  <c:v>32950</c:v>
                </c:pt>
                <c:pt idx="199">
                  <c:v>32806.46</c:v>
                </c:pt>
                <c:pt idx="200">
                  <c:v>33800</c:v>
                </c:pt>
                <c:pt idx="201">
                  <c:v>34525.5</c:v>
                </c:pt>
                <c:pt idx="202">
                  <c:v>39782.93</c:v>
                </c:pt>
                <c:pt idx="203">
                  <c:v>40572.449999999997</c:v>
                </c:pt>
                <c:pt idx="204">
                  <c:v>40366.57</c:v>
                </c:pt>
                <c:pt idx="205">
                  <c:v>40928.46</c:v>
                </c:pt>
                <c:pt idx="206">
                  <c:v>40639.14</c:v>
                </c:pt>
                <c:pt idx="207">
                  <c:v>42400</c:v>
                </c:pt>
                <c:pt idx="208">
                  <c:v>42600</c:v>
                </c:pt>
                <c:pt idx="209">
                  <c:v>42475.28</c:v>
                </c:pt>
                <c:pt idx="210">
                  <c:v>40446.58</c:v>
                </c:pt>
                <c:pt idx="211">
                  <c:v>38824.81</c:v>
                </c:pt>
                <c:pt idx="212">
                  <c:v>39973.96</c:v>
                </c:pt>
                <c:pt idx="213">
                  <c:v>41431.18</c:v>
                </c:pt>
                <c:pt idx="214">
                  <c:v>43792.42</c:v>
                </c:pt>
                <c:pt idx="215">
                  <c:v>44837.59</c:v>
                </c:pt>
                <c:pt idx="216">
                  <c:v>45386.81</c:v>
                </c:pt>
                <c:pt idx="217">
                  <c:v>46729.86</c:v>
                </c:pt>
                <c:pt idx="218">
                  <c:v>46183.47</c:v>
                </c:pt>
                <c:pt idx="219">
                  <c:v>46775</c:v>
                </c:pt>
                <c:pt idx="220">
                  <c:v>46023.08</c:v>
                </c:pt>
                <c:pt idx="221">
                  <c:v>47900</c:v>
                </c:pt>
                <c:pt idx="222">
                  <c:v>48181.51</c:v>
                </c:pt>
                <c:pt idx="223">
                  <c:v>48044.25</c:v>
                </c:pt>
                <c:pt idx="224">
                  <c:v>47744.5</c:v>
                </c:pt>
                <c:pt idx="225">
                  <c:v>47162.94</c:v>
                </c:pt>
                <c:pt idx="226">
                  <c:v>46031</c:v>
                </c:pt>
                <c:pt idx="227">
                  <c:v>47424.13</c:v>
                </c:pt>
                <c:pt idx="228">
                  <c:v>49400</c:v>
                </c:pt>
                <c:pt idx="229">
                  <c:v>49812.54</c:v>
                </c:pt>
                <c:pt idx="230">
                  <c:v>50540.19</c:v>
                </c:pt>
                <c:pt idx="231">
                  <c:v>50517.99</c:v>
                </c:pt>
                <c:pt idx="232">
                  <c:v>49867.71</c:v>
                </c:pt>
                <c:pt idx="233">
                  <c:v>49365.42</c:v>
                </c:pt>
                <c:pt idx="234">
                  <c:v>48053.14</c:v>
                </c:pt>
                <c:pt idx="235">
                  <c:v>49313.26</c:v>
                </c:pt>
                <c:pt idx="236">
                  <c:v>49650</c:v>
                </c:pt>
                <c:pt idx="237">
                  <c:v>49408.07</c:v>
                </c:pt>
                <c:pt idx="238">
                  <c:v>48735.71</c:v>
                </c:pt>
                <c:pt idx="239">
                  <c:v>48261.59</c:v>
                </c:pt>
                <c:pt idx="240">
                  <c:v>49935.09</c:v>
                </c:pt>
                <c:pt idx="241">
                  <c:v>50412</c:v>
                </c:pt>
                <c:pt idx="242">
                  <c:v>51046.11</c:v>
                </c:pt>
                <c:pt idx="243">
                  <c:v>50545.41</c:v>
                </c:pt>
                <c:pt idx="244">
                  <c:v>51962.68</c:v>
                </c:pt>
                <c:pt idx="245">
                  <c:v>52938.78</c:v>
                </c:pt>
                <c:pt idx="246">
                  <c:v>52744.480000000003</c:v>
                </c:pt>
                <c:pt idx="247">
                  <c:v>46885.38</c:v>
                </c:pt>
                <c:pt idx="248">
                  <c:v>47396.38</c:v>
                </c:pt>
                <c:pt idx="249">
                  <c:v>46812.87</c:v>
                </c:pt>
                <c:pt idx="250">
                  <c:v>46001.33</c:v>
                </c:pt>
                <c:pt idx="251">
                  <c:v>46504.62</c:v>
                </c:pt>
                <c:pt idx="252">
                  <c:v>46897</c:v>
                </c:pt>
                <c:pt idx="253">
                  <c:v>47498.54</c:v>
                </c:pt>
                <c:pt idx="254">
                  <c:v>48455.16</c:v>
                </c:pt>
                <c:pt idx="255">
                  <c:v>48500</c:v>
                </c:pt>
                <c:pt idx="256">
                  <c:v>48165.96</c:v>
                </c:pt>
                <c:pt idx="257">
                  <c:v>48808.97</c:v>
                </c:pt>
                <c:pt idx="258">
                  <c:v>48333.32</c:v>
                </c:pt>
                <c:pt idx="259">
                  <c:v>45837.9</c:v>
                </c:pt>
                <c:pt idx="260">
                  <c:v>43655.53</c:v>
                </c:pt>
                <c:pt idx="261">
                  <c:v>44231.92</c:v>
                </c:pt>
                <c:pt idx="262">
                  <c:v>45062.97</c:v>
                </c:pt>
                <c:pt idx="263">
                  <c:v>45157.81</c:v>
                </c:pt>
                <c:pt idx="264">
                  <c:v>42985.06</c:v>
                </c:pt>
                <c:pt idx="265">
                  <c:v>44350</c:v>
                </c:pt>
                <c:pt idx="266">
                  <c:v>44250.76</c:v>
                </c:pt>
                <c:pt idx="267">
                  <c:v>42771.12</c:v>
                </c:pt>
                <c:pt idx="268">
                  <c:v>43726.63</c:v>
                </c:pt>
                <c:pt idx="269">
                  <c:v>44097.7</c:v>
                </c:pt>
                <c:pt idx="270">
                  <c:v>48495.68</c:v>
                </c:pt>
                <c:pt idx="271">
                  <c:v>48346.7</c:v>
                </c:pt>
                <c:pt idx="272">
                  <c:v>49259.3</c:v>
                </c:pt>
                <c:pt idx="273">
                  <c:v>49789.33</c:v>
                </c:pt>
                <c:pt idx="274">
                  <c:v>51927.83</c:v>
                </c:pt>
                <c:pt idx="275">
                  <c:v>55800</c:v>
                </c:pt>
                <c:pt idx="276">
                  <c:v>55231.53</c:v>
                </c:pt>
                <c:pt idx="277">
                  <c:v>56150.58</c:v>
                </c:pt>
                <c:pt idx="278">
                  <c:v>55486.87</c:v>
                </c:pt>
                <c:pt idx="279">
                  <c:v>56759.01</c:v>
                </c:pt>
                <c:pt idx="280">
                  <c:v>58000</c:v>
                </c:pt>
                <c:pt idx="281">
                  <c:v>57688.88</c:v>
                </c:pt>
                <c:pt idx="282">
                  <c:v>58500.02</c:v>
                </c:pt>
                <c:pt idx="283">
                  <c:v>59450</c:v>
                </c:pt>
                <c:pt idx="284">
                  <c:v>62898</c:v>
                </c:pt>
                <c:pt idx="285">
                  <c:v>62366.080000000002</c:v>
                </c:pt>
                <c:pt idx="286">
                  <c:v>62552.73</c:v>
                </c:pt>
                <c:pt idx="287">
                  <c:v>62973.38</c:v>
                </c:pt>
                <c:pt idx="288">
                  <c:v>64498.12</c:v>
                </c:pt>
                <c:pt idx="289">
                  <c:v>66994.720000000001</c:v>
                </c:pt>
                <c:pt idx="290">
                  <c:v>66643.14</c:v>
                </c:pt>
                <c:pt idx="291">
                  <c:v>63745.62</c:v>
                </c:pt>
                <c:pt idx="292">
                  <c:v>61743.51</c:v>
                </c:pt>
                <c:pt idx="293">
                  <c:v>62223.14</c:v>
                </c:pt>
                <c:pt idx="294">
                  <c:v>63703.3</c:v>
                </c:pt>
                <c:pt idx="295">
                  <c:v>63102.8</c:v>
                </c:pt>
                <c:pt idx="296">
                  <c:v>61500</c:v>
                </c:pt>
                <c:pt idx="297">
                  <c:v>62508.87</c:v>
                </c:pt>
                <c:pt idx="298">
                  <c:v>62978</c:v>
                </c:pt>
                <c:pt idx="299">
                  <c:v>62487.97</c:v>
                </c:pt>
                <c:pt idx="300">
                  <c:v>61768</c:v>
                </c:pt>
                <c:pt idx="301">
                  <c:v>62490</c:v>
                </c:pt>
                <c:pt idx="302">
                  <c:v>64319</c:v>
                </c:pt>
                <c:pt idx="303">
                  <c:v>63547.54</c:v>
                </c:pt>
                <c:pt idx="304">
                  <c:v>62858.83</c:v>
                </c:pt>
                <c:pt idx="305">
                  <c:v>64000</c:v>
                </c:pt>
                <c:pt idx="306">
                  <c:v>62338.16</c:v>
                </c:pt>
                <c:pt idx="307">
                  <c:v>65680</c:v>
                </c:pt>
                <c:pt idx="308">
                  <c:v>68534.11</c:v>
                </c:pt>
                <c:pt idx="309">
                  <c:v>68529.52</c:v>
                </c:pt>
                <c:pt idx="310">
                  <c:v>69000</c:v>
                </c:pt>
                <c:pt idx="311">
                  <c:v>65587</c:v>
                </c:pt>
                <c:pt idx="312">
                  <c:v>65071.49</c:v>
                </c:pt>
                <c:pt idx="313">
                  <c:v>65338.87</c:v>
                </c:pt>
                <c:pt idx="314">
                  <c:v>66200</c:v>
                </c:pt>
                <c:pt idx="315">
                  <c:v>66340.740000000005</c:v>
                </c:pt>
                <c:pt idx="316">
                  <c:v>61558.53</c:v>
                </c:pt>
                <c:pt idx="317">
                  <c:v>60976.25</c:v>
                </c:pt>
                <c:pt idx="318">
                  <c:v>60106.3</c:v>
                </c:pt>
                <c:pt idx="319">
                  <c:v>59042</c:v>
                </c:pt>
                <c:pt idx="320">
                  <c:v>59886.11</c:v>
                </c:pt>
                <c:pt idx="321">
                  <c:v>60061.89</c:v>
                </c:pt>
                <c:pt idx="322">
                  <c:v>59581.52</c:v>
                </c:pt>
                <c:pt idx="323">
                  <c:v>57882.26</c:v>
                </c:pt>
                <c:pt idx="324">
                  <c:v>58276.58</c:v>
                </c:pt>
                <c:pt idx="325">
                  <c:v>59476.65</c:v>
                </c:pt>
                <c:pt idx="326">
                  <c:v>58043.76</c:v>
                </c:pt>
                <c:pt idx="327">
                  <c:v>55320.800000000003</c:v>
                </c:pt>
                <c:pt idx="328">
                  <c:v>58265.2</c:v>
                </c:pt>
                <c:pt idx="329">
                  <c:v>58903.31</c:v>
                </c:pt>
                <c:pt idx="330">
                  <c:v>59226.98</c:v>
                </c:pt>
                <c:pt idx="331">
                  <c:v>59105.91</c:v>
                </c:pt>
                <c:pt idx="332">
                  <c:v>57277.919999999998</c:v>
                </c:pt>
                <c:pt idx="333">
                  <c:v>57673.58</c:v>
                </c:pt>
                <c:pt idx="334">
                  <c:v>52644.42</c:v>
                </c:pt>
                <c:pt idx="335">
                  <c:v>49786.95</c:v>
                </c:pt>
                <c:pt idx="336">
                  <c:v>51481.04</c:v>
                </c:pt>
                <c:pt idx="337">
                  <c:v>51982.66</c:v>
                </c:pt>
                <c:pt idx="338">
                  <c:v>51269.82</c:v>
                </c:pt>
                <c:pt idx="339">
                  <c:v>50362.35</c:v>
                </c:pt>
                <c:pt idx="340">
                  <c:v>49243</c:v>
                </c:pt>
                <c:pt idx="341">
                  <c:v>49699.99</c:v>
                </c:pt>
                <c:pt idx="342">
                  <c:v>50808.480000000003</c:v>
                </c:pt>
                <c:pt idx="343">
                  <c:v>49348.69</c:v>
                </c:pt>
                <c:pt idx="344">
                  <c:v>48784.28</c:v>
                </c:pt>
                <c:pt idx="345">
                  <c:v>49500</c:v>
                </c:pt>
                <c:pt idx="346">
                  <c:v>49466.29</c:v>
                </c:pt>
                <c:pt idx="347">
                  <c:v>48194.13</c:v>
                </c:pt>
                <c:pt idx="348">
                  <c:v>47980.93</c:v>
                </c:pt>
                <c:pt idx="349">
                  <c:v>48306.22</c:v>
                </c:pt>
                <c:pt idx="350">
                  <c:v>48082.61</c:v>
                </c:pt>
                <c:pt idx="351">
                  <c:v>49598.11</c:v>
                </c:pt>
                <c:pt idx="352">
                  <c:v>49548.86</c:v>
                </c:pt>
                <c:pt idx="353">
                  <c:v>51533.71</c:v>
                </c:pt>
                <c:pt idx="354">
                  <c:v>51866.86</c:v>
                </c:pt>
                <c:pt idx="355">
                  <c:v>51156.95</c:v>
                </c:pt>
                <c:pt idx="356">
                  <c:v>51294.26</c:v>
                </c:pt>
                <c:pt idx="357">
                  <c:v>52104.93</c:v>
                </c:pt>
                <c:pt idx="358">
                  <c:v>49834.68</c:v>
                </c:pt>
                <c:pt idx="359">
                  <c:v>48075.97</c:v>
                </c:pt>
                <c:pt idx="360">
                  <c:v>47949.3</c:v>
                </c:pt>
                <c:pt idx="361">
                  <c:v>48578.35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3-4CD6-AC70-772299055CA2}"/>
            </c:ext>
          </c:extLst>
        </c:ser>
        <c:ser>
          <c:idx val="1"/>
          <c:order val="1"/>
          <c:tx>
            <c:strRef>
              <c:f>EDA!$H$1:$H$2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EDA!$F$3:$F$365</c:f>
              <c:strCache>
                <c:ptCount val="362"/>
                <c:pt idx="0">
                  <c:v>1/4/2021</c:v>
                </c:pt>
                <c:pt idx="1">
                  <c:v>1/5/2021</c:v>
                </c:pt>
                <c:pt idx="2">
                  <c:v>1/6/2021</c:v>
                </c:pt>
                <c:pt idx="3">
                  <c:v>1/7/2021</c:v>
                </c:pt>
                <c:pt idx="4">
                  <c:v>1/8/2021</c:v>
                </c:pt>
                <c:pt idx="5">
                  <c:v>1/9/2021</c:v>
                </c:pt>
                <c:pt idx="6">
                  <c:v>1/10/2021</c:v>
                </c:pt>
                <c:pt idx="7">
                  <c:v>1/11/2021</c:v>
                </c:pt>
                <c:pt idx="8">
                  <c:v>1/12/2021</c:v>
                </c:pt>
                <c:pt idx="9">
                  <c:v>1/13/2021</c:v>
                </c:pt>
                <c:pt idx="10">
                  <c:v>1/14/2021</c:v>
                </c:pt>
                <c:pt idx="11">
                  <c:v>1/15/2021</c:v>
                </c:pt>
                <c:pt idx="12">
                  <c:v>1/16/2021</c:v>
                </c:pt>
                <c:pt idx="13">
                  <c:v>1/17/2021</c:v>
                </c:pt>
                <c:pt idx="14">
                  <c:v>1/18/2021</c:v>
                </c:pt>
                <c:pt idx="15">
                  <c:v>1/19/2021</c:v>
                </c:pt>
                <c:pt idx="16">
                  <c:v>1/20/2021</c:v>
                </c:pt>
                <c:pt idx="17">
                  <c:v>1/21/2021</c:v>
                </c:pt>
                <c:pt idx="18">
                  <c:v>1/22/2021</c:v>
                </c:pt>
                <c:pt idx="19">
                  <c:v>1/23/2021</c:v>
                </c:pt>
                <c:pt idx="20">
                  <c:v>1/24/2021</c:v>
                </c:pt>
                <c:pt idx="21">
                  <c:v>1/25/2021</c:v>
                </c:pt>
                <c:pt idx="22">
                  <c:v>1/26/2021</c:v>
                </c:pt>
                <c:pt idx="23">
                  <c:v>1/27/2021</c:v>
                </c:pt>
                <c:pt idx="24">
                  <c:v>1/28/2021</c:v>
                </c:pt>
                <c:pt idx="25">
                  <c:v>1/29/2021</c:v>
                </c:pt>
                <c:pt idx="26">
                  <c:v>1/30/2021</c:v>
                </c:pt>
                <c:pt idx="27">
                  <c:v>1/31/2021</c:v>
                </c:pt>
                <c:pt idx="28">
                  <c:v>2/1/2021</c:v>
                </c:pt>
                <c:pt idx="29">
                  <c:v>2/2/2021</c:v>
                </c:pt>
                <c:pt idx="30">
                  <c:v>2/3/2021</c:v>
                </c:pt>
                <c:pt idx="31">
                  <c:v>2/4/2021</c:v>
                </c:pt>
                <c:pt idx="32">
                  <c:v>2/5/2021</c:v>
                </c:pt>
                <c:pt idx="33">
                  <c:v>2/6/2021</c:v>
                </c:pt>
                <c:pt idx="34">
                  <c:v>2/7/2021</c:v>
                </c:pt>
                <c:pt idx="35">
                  <c:v>2/8/2021</c:v>
                </c:pt>
                <c:pt idx="36">
                  <c:v>2/9/2021</c:v>
                </c:pt>
                <c:pt idx="37">
                  <c:v>2/10/2021</c:v>
                </c:pt>
                <c:pt idx="38">
                  <c:v>2/11/2021</c:v>
                </c:pt>
                <c:pt idx="39">
                  <c:v>2/12/2021</c:v>
                </c:pt>
                <c:pt idx="40">
                  <c:v>2/13/2021</c:v>
                </c:pt>
                <c:pt idx="41">
                  <c:v>2/14/2021</c:v>
                </c:pt>
                <c:pt idx="42">
                  <c:v>2/15/2021</c:v>
                </c:pt>
                <c:pt idx="43">
                  <c:v>2/16/2021</c:v>
                </c:pt>
                <c:pt idx="44">
                  <c:v>2/17/2021</c:v>
                </c:pt>
                <c:pt idx="45">
                  <c:v>2/18/2021</c:v>
                </c:pt>
                <c:pt idx="46">
                  <c:v>2/19/2021</c:v>
                </c:pt>
                <c:pt idx="47">
                  <c:v>2/20/2021</c:v>
                </c:pt>
                <c:pt idx="48">
                  <c:v>2/21/2021</c:v>
                </c:pt>
                <c:pt idx="49">
                  <c:v>2/22/2021</c:v>
                </c:pt>
                <c:pt idx="50">
                  <c:v>2/23/2021</c:v>
                </c:pt>
                <c:pt idx="51">
                  <c:v>2/24/2021</c:v>
                </c:pt>
                <c:pt idx="52">
                  <c:v>2/25/2021</c:v>
                </c:pt>
                <c:pt idx="53">
                  <c:v>2/26/2021</c:v>
                </c:pt>
                <c:pt idx="54">
                  <c:v>2/27/2021</c:v>
                </c:pt>
                <c:pt idx="55">
                  <c:v>2/28/2021</c:v>
                </c:pt>
                <c:pt idx="56">
                  <c:v>3/1/2021</c:v>
                </c:pt>
                <c:pt idx="57">
                  <c:v>3/2/2021</c:v>
                </c:pt>
                <c:pt idx="58">
                  <c:v>3/3/2021</c:v>
                </c:pt>
                <c:pt idx="59">
                  <c:v>3/4/2021</c:v>
                </c:pt>
                <c:pt idx="60">
                  <c:v>3/5/2021</c:v>
                </c:pt>
                <c:pt idx="61">
                  <c:v>3/6/2021</c:v>
                </c:pt>
                <c:pt idx="62">
                  <c:v>3/7/2021</c:v>
                </c:pt>
                <c:pt idx="63">
                  <c:v>3/8/2021</c:v>
                </c:pt>
                <c:pt idx="64">
                  <c:v>3/9/2021</c:v>
                </c:pt>
                <c:pt idx="65">
                  <c:v>3/10/2021</c:v>
                </c:pt>
                <c:pt idx="66">
                  <c:v>3/11/2021</c:v>
                </c:pt>
                <c:pt idx="67">
                  <c:v>3/12/2021</c:v>
                </c:pt>
                <c:pt idx="68">
                  <c:v>3/13/2021</c:v>
                </c:pt>
                <c:pt idx="69">
                  <c:v>3/14/2021</c:v>
                </c:pt>
                <c:pt idx="70">
                  <c:v>3/15/2021</c:v>
                </c:pt>
                <c:pt idx="71">
                  <c:v>3/16/2021</c:v>
                </c:pt>
                <c:pt idx="72">
                  <c:v>3/17/2021</c:v>
                </c:pt>
                <c:pt idx="73">
                  <c:v>3/18/2021</c:v>
                </c:pt>
                <c:pt idx="74">
                  <c:v>3/19/2021</c:v>
                </c:pt>
                <c:pt idx="75">
                  <c:v>3/20/2021</c:v>
                </c:pt>
                <c:pt idx="76">
                  <c:v>3/21/2021</c:v>
                </c:pt>
                <c:pt idx="77">
                  <c:v>3/22/2021</c:v>
                </c:pt>
                <c:pt idx="78">
                  <c:v>3/23/2021</c:v>
                </c:pt>
                <c:pt idx="79">
                  <c:v>3/24/2021</c:v>
                </c:pt>
                <c:pt idx="80">
                  <c:v>3/25/2021</c:v>
                </c:pt>
                <c:pt idx="81">
                  <c:v>3/26/2021</c:v>
                </c:pt>
                <c:pt idx="82">
                  <c:v>3/27/2021</c:v>
                </c:pt>
                <c:pt idx="83">
                  <c:v>3/28/2021</c:v>
                </c:pt>
                <c:pt idx="84">
                  <c:v>3/29/2021</c:v>
                </c:pt>
                <c:pt idx="85">
                  <c:v>3/30/2021</c:v>
                </c:pt>
                <c:pt idx="86">
                  <c:v>3/31/2021</c:v>
                </c:pt>
                <c:pt idx="87">
                  <c:v>4/1/2021</c:v>
                </c:pt>
                <c:pt idx="88">
                  <c:v>4/2/2021</c:v>
                </c:pt>
                <c:pt idx="89">
                  <c:v>4/3/2021</c:v>
                </c:pt>
                <c:pt idx="90">
                  <c:v>4/4/2021</c:v>
                </c:pt>
                <c:pt idx="91">
                  <c:v>4/5/2021</c:v>
                </c:pt>
                <c:pt idx="92">
                  <c:v>4/6/2021</c:v>
                </c:pt>
                <c:pt idx="93">
                  <c:v>4/7/2021</c:v>
                </c:pt>
                <c:pt idx="94">
                  <c:v>4/8/2021</c:v>
                </c:pt>
                <c:pt idx="95">
                  <c:v>4/9/2021</c:v>
                </c:pt>
                <c:pt idx="96">
                  <c:v>4/10/2021</c:v>
                </c:pt>
                <c:pt idx="97">
                  <c:v>4/11/2021</c:v>
                </c:pt>
                <c:pt idx="98">
                  <c:v>4/12/2021</c:v>
                </c:pt>
                <c:pt idx="99">
                  <c:v>4/13/2021</c:v>
                </c:pt>
                <c:pt idx="100">
                  <c:v>4/14/2021</c:v>
                </c:pt>
                <c:pt idx="101">
                  <c:v>4/15/2021</c:v>
                </c:pt>
                <c:pt idx="102">
                  <c:v>4/16/2021</c:v>
                </c:pt>
                <c:pt idx="103">
                  <c:v>4/17/2021</c:v>
                </c:pt>
                <c:pt idx="104">
                  <c:v>4/18/2021</c:v>
                </c:pt>
                <c:pt idx="105">
                  <c:v>4/19/2021</c:v>
                </c:pt>
                <c:pt idx="106">
                  <c:v>4/20/2021</c:v>
                </c:pt>
                <c:pt idx="107">
                  <c:v>4/21/2021</c:v>
                </c:pt>
                <c:pt idx="108">
                  <c:v>4/22/2021</c:v>
                </c:pt>
                <c:pt idx="109">
                  <c:v>4/23/2021</c:v>
                </c:pt>
                <c:pt idx="110">
                  <c:v>4/24/2021</c:v>
                </c:pt>
                <c:pt idx="111">
                  <c:v>4/25/2021</c:v>
                </c:pt>
                <c:pt idx="112">
                  <c:v>4/26/2021</c:v>
                </c:pt>
                <c:pt idx="113">
                  <c:v>4/27/2021</c:v>
                </c:pt>
                <c:pt idx="114">
                  <c:v>4/28/2021</c:v>
                </c:pt>
                <c:pt idx="115">
                  <c:v>4/29/2021</c:v>
                </c:pt>
                <c:pt idx="116">
                  <c:v>4/30/2021</c:v>
                </c:pt>
                <c:pt idx="117">
                  <c:v>5/1/2021</c:v>
                </c:pt>
                <c:pt idx="118">
                  <c:v>5/2/2021</c:v>
                </c:pt>
                <c:pt idx="119">
                  <c:v>5/3/2021</c:v>
                </c:pt>
                <c:pt idx="120">
                  <c:v>5/4/2021</c:v>
                </c:pt>
                <c:pt idx="121">
                  <c:v>5/5/2021</c:v>
                </c:pt>
                <c:pt idx="122">
                  <c:v>5/6/2021</c:v>
                </c:pt>
                <c:pt idx="123">
                  <c:v>5/7/2021</c:v>
                </c:pt>
                <c:pt idx="124">
                  <c:v>5/8/2021</c:v>
                </c:pt>
                <c:pt idx="125">
                  <c:v>5/9/2021</c:v>
                </c:pt>
                <c:pt idx="126">
                  <c:v>5/10/2021</c:v>
                </c:pt>
                <c:pt idx="127">
                  <c:v>5/11/2021</c:v>
                </c:pt>
                <c:pt idx="128">
                  <c:v>5/12/2021</c:v>
                </c:pt>
                <c:pt idx="129">
                  <c:v>5/13/2021</c:v>
                </c:pt>
                <c:pt idx="130">
                  <c:v>5/14/2021</c:v>
                </c:pt>
                <c:pt idx="131">
                  <c:v>5/15/2021</c:v>
                </c:pt>
                <c:pt idx="132">
                  <c:v>5/16/2021</c:v>
                </c:pt>
                <c:pt idx="133">
                  <c:v>5/17/2021</c:v>
                </c:pt>
                <c:pt idx="134">
                  <c:v>5/18/2021</c:v>
                </c:pt>
                <c:pt idx="135">
                  <c:v>5/19/2021</c:v>
                </c:pt>
                <c:pt idx="136">
                  <c:v>5/20/2021</c:v>
                </c:pt>
                <c:pt idx="137">
                  <c:v>5/21/2021</c:v>
                </c:pt>
                <c:pt idx="138">
                  <c:v>5/22/2021</c:v>
                </c:pt>
                <c:pt idx="139">
                  <c:v>5/23/2021</c:v>
                </c:pt>
                <c:pt idx="140">
                  <c:v>5/24/2021</c:v>
                </c:pt>
                <c:pt idx="141">
                  <c:v>5/25/2021</c:v>
                </c:pt>
                <c:pt idx="142">
                  <c:v>5/26/2021</c:v>
                </c:pt>
                <c:pt idx="143">
                  <c:v>5/27/2021</c:v>
                </c:pt>
                <c:pt idx="144">
                  <c:v>5/28/2021</c:v>
                </c:pt>
                <c:pt idx="145">
                  <c:v>5/29/2021</c:v>
                </c:pt>
                <c:pt idx="146">
                  <c:v>5/30/2021</c:v>
                </c:pt>
                <c:pt idx="147">
                  <c:v>5/31/2021</c:v>
                </c:pt>
                <c:pt idx="148">
                  <c:v>6/1/2021</c:v>
                </c:pt>
                <c:pt idx="149">
                  <c:v>6/2/2021</c:v>
                </c:pt>
                <c:pt idx="150">
                  <c:v>6/3/2021</c:v>
                </c:pt>
                <c:pt idx="151">
                  <c:v>6/4/2021</c:v>
                </c:pt>
                <c:pt idx="152">
                  <c:v>6/5/2021</c:v>
                </c:pt>
                <c:pt idx="153">
                  <c:v>6/6/2021</c:v>
                </c:pt>
                <c:pt idx="154">
                  <c:v>6/7/2021</c:v>
                </c:pt>
                <c:pt idx="155">
                  <c:v>6/8/2021</c:v>
                </c:pt>
                <c:pt idx="156">
                  <c:v>6/9/2021</c:v>
                </c:pt>
                <c:pt idx="157">
                  <c:v>6/10/2021</c:v>
                </c:pt>
                <c:pt idx="158">
                  <c:v>6/11/2021</c:v>
                </c:pt>
                <c:pt idx="159">
                  <c:v>6/12/2021</c:v>
                </c:pt>
                <c:pt idx="160">
                  <c:v>6/13/2021</c:v>
                </c:pt>
                <c:pt idx="161">
                  <c:v>6/14/2021</c:v>
                </c:pt>
                <c:pt idx="162">
                  <c:v>6/15/2021</c:v>
                </c:pt>
                <c:pt idx="163">
                  <c:v>6/16/2021</c:v>
                </c:pt>
                <c:pt idx="164">
                  <c:v>6/17/2021</c:v>
                </c:pt>
                <c:pt idx="165">
                  <c:v>6/18/2021</c:v>
                </c:pt>
                <c:pt idx="166">
                  <c:v>6/19/2021</c:v>
                </c:pt>
                <c:pt idx="167">
                  <c:v>6/20/2021</c:v>
                </c:pt>
                <c:pt idx="168">
                  <c:v>6/21/2021</c:v>
                </c:pt>
                <c:pt idx="169">
                  <c:v>6/22/2021</c:v>
                </c:pt>
                <c:pt idx="170">
                  <c:v>6/23/2021</c:v>
                </c:pt>
                <c:pt idx="171">
                  <c:v>6/24/2021</c:v>
                </c:pt>
                <c:pt idx="172">
                  <c:v>6/25/2021</c:v>
                </c:pt>
                <c:pt idx="173">
                  <c:v>6/26/2021</c:v>
                </c:pt>
                <c:pt idx="174">
                  <c:v>6/27/2021</c:v>
                </c:pt>
                <c:pt idx="175">
                  <c:v>6/28/2021</c:v>
                </c:pt>
                <c:pt idx="176">
                  <c:v>6/29/2021</c:v>
                </c:pt>
                <c:pt idx="177">
                  <c:v>6/30/2021</c:v>
                </c:pt>
                <c:pt idx="178">
                  <c:v>7/1/2021</c:v>
                </c:pt>
                <c:pt idx="179">
                  <c:v>7/2/2021</c:v>
                </c:pt>
                <c:pt idx="180">
                  <c:v>7/3/2021</c:v>
                </c:pt>
                <c:pt idx="181">
                  <c:v>7/4/2021</c:v>
                </c:pt>
                <c:pt idx="182">
                  <c:v>7/5/2021</c:v>
                </c:pt>
                <c:pt idx="183">
                  <c:v>7/6/2021</c:v>
                </c:pt>
                <c:pt idx="184">
                  <c:v>7/7/2021</c:v>
                </c:pt>
                <c:pt idx="185">
                  <c:v>7/8/2021</c:v>
                </c:pt>
                <c:pt idx="186">
                  <c:v>7/9/2021</c:v>
                </c:pt>
                <c:pt idx="187">
                  <c:v>7/10/2021</c:v>
                </c:pt>
                <c:pt idx="188">
                  <c:v>7/11/2021</c:v>
                </c:pt>
                <c:pt idx="189">
                  <c:v>7/12/2021</c:v>
                </c:pt>
                <c:pt idx="190">
                  <c:v>7/13/2021</c:v>
                </c:pt>
                <c:pt idx="191">
                  <c:v>7/14/2021</c:v>
                </c:pt>
                <c:pt idx="192">
                  <c:v>7/15/2021</c:v>
                </c:pt>
                <c:pt idx="193">
                  <c:v>7/16/2021</c:v>
                </c:pt>
                <c:pt idx="194">
                  <c:v>7/17/2021</c:v>
                </c:pt>
                <c:pt idx="195">
                  <c:v>7/18/2021</c:v>
                </c:pt>
                <c:pt idx="196">
                  <c:v>7/19/2021</c:v>
                </c:pt>
                <c:pt idx="197">
                  <c:v>7/20/2021</c:v>
                </c:pt>
                <c:pt idx="198">
                  <c:v>7/21/2021</c:v>
                </c:pt>
                <c:pt idx="199">
                  <c:v>7/22/2021</c:v>
                </c:pt>
                <c:pt idx="200">
                  <c:v>7/23/2021</c:v>
                </c:pt>
                <c:pt idx="201">
                  <c:v>7/24/2021</c:v>
                </c:pt>
                <c:pt idx="202">
                  <c:v>7/25/2021</c:v>
                </c:pt>
                <c:pt idx="203">
                  <c:v>7/26/2021</c:v>
                </c:pt>
                <c:pt idx="204">
                  <c:v>7/27/2021</c:v>
                </c:pt>
                <c:pt idx="205">
                  <c:v>7/28/2021</c:v>
                </c:pt>
                <c:pt idx="206">
                  <c:v>7/29/2021</c:v>
                </c:pt>
                <c:pt idx="207">
                  <c:v>7/30/2021</c:v>
                </c:pt>
                <c:pt idx="208">
                  <c:v>7/31/2021</c:v>
                </c:pt>
                <c:pt idx="209">
                  <c:v>8/1/2021</c:v>
                </c:pt>
                <c:pt idx="210">
                  <c:v>8/2/2021</c:v>
                </c:pt>
                <c:pt idx="211">
                  <c:v>8/3/2021</c:v>
                </c:pt>
                <c:pt idx="212">
                  <c:v>8/4/2021</c:v>
                </c:pt>
                <c:pt idx="213">
                  <c:v>8/5/2021</c:v>
                </c:pt>
                <c:pt idx="214">
                  <c:v>8/6/2021</c:v>
                </c:pt>
                <c:pt idx="215">
                  <c:v>8/7/2021</c:v>
                </c:pt>
                <c:pt idx="216">
                  <c:v>8/8/2021</c:v>
                </c:pt>
                <c:pt idx="217">
                  <c:v>8/9/2021</c:v>
                </c:pt>
                <c:pt idx="218">
                  <c:v>8/10/2021</c:v>
                </c:pt>
                <c:pt idx="219">
                  <c:v>8/11/2021</c:v>
                </c:pt>
                <c:pt idx="220">
                  <c:v>8/12/2021</c:v>
                </c:pt>
                <c:pt idx="221">
                  <c:v>8/13/2021</c:v>
                </c:pt>
                <c:pt idx="222">
                  <c:v>8/14/2021</c:v>
                </c:pt>
                <c:pt idx="223">
                  <c:v>8/15/2021</c:v>
                </c:pt>
                <c:pt idx="224">
                  <c:v>8/16/2021</c:v>
                </c:pt>
                <c:pt idx="225">
                  <c:v>8/17/2021</c:v>
                </c:pt>
                <c:pt idx="226">
                  <c:v>8/18/2021</c:v>
                </c:pt>
                <c:pt idx="227">
                  <c:v>8/19/2021</c:v>
                </c:pt>
                <c:pt idx="228">
                  <c:v>8/20/2021</c:v>
                </c:pt>
                <c:pt idx="229">
                  <c:v>8/21/2021</c:v>
                </c:pt>
                <c:pt idx="230">
                  <c:v>8/22/2021</c:v>
                </c:pt>
                <c:pt idx="231">
                  <c:v>8/23/2021</c:v>
                </c:pt>
                <c:pt idx="232">
                  <c:v>8/24/2021</c:v>
                </c:pt>
                <c:pt idx="233">
                  <c:v>8/25/2021</c:v>
                </c:pt>
                <c:pt idx="234">
                  <c:v>8/26/2021</c:v>
                </c:pt>
                <c:pt idx="235">
                  <c:v>8/27/2021</c:v>
                </c:pt>
                <c:pt idx="236">
                  <c:v>8/28/2021</c:v>
                </c:pt>
                <c:pt idx="237">
                  <c:v>8/29/2021</c:v>
                </c:pt>
                <c:pt idx="238">
                  <c:v>8/30/2021</c:v>
                </c:pt>
                <c:pt idx="239">
                  <c:v>8/31/2021</c:v>
                </c:pt>
                <c:pt idx="240">
                  <c:v>9/1/2021</c:v>
                </c:pt>
                <c:pt idx="241">
                  <c:v>9/2/2021</c:v>
                </c:pt>
                <c:pt idx="242">
                  <c:v>9/3/2021</c:v>
                </c:pt>
                <c:pt idx="243">
                  <c:v>9/4/2021</c:v>
                </c:pt>
                <c:pt idx="244">
                  <c:v>9/5/2021</c:v>
                </c:pt>
                <c:pt idx="245">
                  <c:v>9/6/2021</c:v>
                </c:pt>
                <c:pt idx="246">
                  <c:v>9/7/2021</c:v>
                </c:pt>
                <c:pt idx="247">
                  <c:v>9/8/2021</c:v>
                </c:pt>
                <c:pt idx="248">
                  <c:v>9/9/2021</c:v>
                </c:pt>
                <c:pt idx="249">
                  <c:v>9/10/2021</c:v>
                </c:pt>
                <c:pt idx="250">
                  <c:v>9/11/2021</c:v>
                </c:pt>
                <c:pt idx="251">
                  <c:v>9/12/2021</c:v>
                </c:pt>
                <c:pt idx="252">
                  <c:v>9/13/2021</c:v>
                </c:pt>
                <c:pt idx="253">
                  <c:v>9/14/2021</c:v>
                </c:pt>
                <c:pt idx="254">
                  <c:v>9/15/2021</c:v>
                </c:pt>
                <c:pt idx="255">
                  <c:v>9/16/2021</c:v>
                </c:pt>
                <c:pt idx="256">
                  <c:v>9/17/2021</c:v>
                </c:pt>
                <c:pt idx="257">
                  <c:v>9/18/2021</c:v>
                </c:pt>
                <c:pt idx="258">
                  <c:v>9/19/2021</c:v>
                </c:pt>
                <c:pt idx="259">
                  <c:v>9/20/2021</c:v>
                </c:pt>
                <c:pt idx="260">
                  <c:v>9/21/2021</c:v>
                </c:pt>
                <c:pt idx="261">
                  <c:v>9/22/2021</c:v>
                </c:pt>
                <c:pt idx="262">
                  <c:v>9/23/2021</c:v>
                </c:pt>
                <c:pt idx="263">
                  <c:v>9/24/2021</c:v>
                </c:pt>
                <c:pt idx="264">
                  <c:v>9/25/2021</c:v>
                </c:pt>
                <c:pt idx="265">
                  <c:v>9/26/2021</c:v>
                </c:pt>
                <c:pt idx="266">
                  <c:v>9/27/2021</c:v>
                </c:pt>
                <c:pt idx="267">
                  <c:v>9/28/2021</c:v>
                </c:pt>
                <c:pt idx="268">
                  <c:v>9/29/2021</c:v>
                </c:pt>
                <c:pt idx="269">
                  <c:v>9/30/2021</c:v>
                </c:pt>
                <c:pt idx="270">
                  <c:v>10/1/2021</c:v>
                </c:pt>
                <c:pt idx="271">
                  <c:v>10/2/2021</c:v>
                </c:pt>
                <c:pt idx="272">
                  <c:v>10/3/2021</c:v>
                </c:pt>
                <c:pt idx="273">
                  <c:v>10/4/2021</c:v>
                </c:pt>
                <c:pt idx="274">
                  <c:v>10/5/2021</c:v>
                </c:pt>
                <c:pt idx="275">
                  <c:v>10/6/2021</c:v>
                </c:pt>
                <c:pt idx="276">
                  <c:v>10/7/2021</c:v>
                </c:pt>
                <c:pt idx="277">
                  <c:v>10/8/2021</c:v>
                </c:pt>
                <c:pt idx="278">
                  <c:v>10/9/2021</c:v>
                </c:pt>
                <c:pt idx="279">
                  <c:v>10/10/2021</c:v>
                </c:pt>
                <c:pt idx="280">
                  <c:v>10/11/2021</c:v>
                </c:pt>
                <c:pt idx="281">
                  <c:v>10/12/2021</c:v>
                </c:pt>
                <c:pt idx="282">
                  <c:v>10/13/2021</c:v>
                </c:pt>
                <c:pt idx="283">
                  <c:v>10/14/2021</c:v>
                </c:pt>
                <c:pt idx="284">
                  <c:v>10/15/2021</c:v>
                </c:pt>
                <c:pt idx="285">
                  <c:v>10/16/2021</c:v>
                </c:pt>
                <c:pt idx="286">
                  <c:v>10/17/2021</c:v>
                </c:pt>
                <c:pt idx="287">
                  <c:v>10/18/2021</c:v>
                </c:pt>
                <c:pt idx="288">
                  <c:v>10/19/2021</c:v>
                </c:pt>
                <c:pt idx="289">
                  <c:v>10/20/2021</c:v>
                </c:pt>
                <c:pt idx="290">
                  <c:v>10/21/2021</c:v>
                </c:pt>
                <c:pt idx="291">
                  <c:v>10/22/2021</c:v>
                </c:pt>
                <c:pt idx="292">
                  <c:v>10/23/2021</c:v>
                </c:pt>
                <c:pt idx="293">
                  <c:v>10/24/2021</c:v>
                </c:pt>
                <c:pt idx="294">
                  <c:v>10/25/2021</c:v>
                </c:pt>
                <c:pt idx="295">
                  <c:v>10/26/2021</c:v>
                </c:pt>
                <c:pt idx="296">
                  <c:v>10/27/2021</c:v>
                </c:pt>
                <c:pt idx="297">
                  <c:v>10/28/2021</c:v>
                </c:pt>
                <c:pt idx="298">
                  <c:v>10/29/2021</c:v>
                </c:pt>
                <c:pt idx="299">
                  <c:v>10/30/2021</c:v>
                </c:pt>
                <c:pt idx="300">
                  <c:v>10/31/2021</c:v>
                </c:pt>
                <c:pt idx="301">
                  <c:v>11/1/2021</c:v>
                </c:pt>
                <c:pt idx="302">
                  <c:v>11/2/2021</c:v>
                </c:pt>
                <c:pt idx="303">
                  <c:v>11/3/2021</c:v>
                </c:pt>
                <c:pt idx="304">
                  <c:v>11/4/2021</c:v>
                </c:pt>
                <c:pt idx="305">
                  <c:v>11/5/2021</c:v>
                </c:pt>
                <c:pt idx="306">
                  <c:v>11/6/2021</c:v>
                </c:pt>
                <c:pt idx="307">
                  <c:v>11/7/2021</c:v>
                </c:pt>
                <c:pt idx="308">
                  <c:v>11/8/2021</c:v>
                </c:pt>
                <c:pt idx="309">
                  <c:v>11/9/2021</c:v>
                </c:pt>
                <c:pt idx="310">
                  <c:v>11/10/2021</c:v>
                </c:pt>
                <c:pt idx="311">
                  <c:v>11/11/2021</c:v>
                </c:pt>
                <c:pt idx="312">
                  <c:v>11/12/2021</c:v>
                </c:pt>
                <c:pt idx="313">
                  <c:v>11/13/2021</c:v>
                </c:pt>
                <c:pt idx="314">
                  <c:v>11/14/2021</c:v>
                </c:pt>
                <c:pt idx="315">
                  <c:v>11/15/2021</c:v>
                </c:pt>
                <c:pt idx="316">
                  <c:v>11/16/2021</c:v>
                </c:pt>
                <c:pt idx="317">
                  <c:v>11/17/2021</c:v>
                </c:pt>
                <c:pt idx="318">
                  <c:v>11/18/2021</c:v>
                </c:pt>
                <c:pt idx="319">
                  <c:v>11/19/2021</c:v>
                </c:pt>
                <c:pt idx="320">
                  <c:v>11/20/2021</c:v>
                </c:pt>
                <c:pt idx="321">
                  <c:v>11/21/2021</c:v>
                </c:pt>
                <c:pt idx="322">
                  <c:v>11/22/2021</c:v>
                </c:pt>
                <c:pt idx="323">
                  <c:v>11/23/2021</c:v>
                </c:pt>
                <c:pt idx="324">
                  <c:v>11/24/2021</c:v>
                </c:pt>
                <c:pt idx="325">
                  <c:v>11/25/2021</c:v>
                </c:pt>
                <c:pt idx="326">
                  <c:v>11/26/2021</c:v>
                </c:pt>
                <c:pt idx="327">
                  <c:v>11/27/2021</c:v>
                </c:pt>
                <c:pt idx="328">
                  <c:v>11/28/2021</c:v>
                </c:pt>
                <c:pt idx="329">
                  <c:v>11/29/2021</c:v>
                </c:pt>
                <c:pt idx="330">
                  <c:v>11/30/2021</c:v>
                </c:pt>
                <c:pt idx="331">
                  <c:v>12/1/2021</c:v>
                </c:pt>
                <c:pt idx="332">
                  <c:v>12/2/2021</c:v>
                </c:pt>
                <c:pt idx="333">
                  <c:v>12/3/2021</c:v>
                </c:pt>
                <c:pt idx="334">
                  <c:v>12/4/2021</c:v>
                </c:pt>
                <c:pt idx="335">
                  <c:v>12/5/2021</c:v>
                </c:pt>
                <c:pt idx="336">
                  <c:v>12/6/2021</c:v>
                </c:pt>
                <c:pt idx="337">
                  <c:v>12/7/2021</c:v>
                </c:pt>
                <c:pt idx="338">
                  <c:v>12/8/2021</c:v>
                </c:pt>
                <c:pt idx="339">
                  <c:v>12/9/2021</c:v>
                </c:pt>
                <c:pt idx="340">
                  <c:v>12/10/2021</c:v>
                </c:pt>
                <c:pt idx="341">
                  <c:v>12/11/2021</c:v>
                </c:pt>
                <c:pt idx="342">
                  <c:v>12/12/2021</c:v>
                </c:pt>
                <c:pt idx="343">
                  <c:v>12/13/2021</c:v>
                </c:pt>
                <c:pt idx="344">
                  <c:v>12/14/2021</c:v>
                </c:pt>
                <c:pt idx="345">
                  <c:v>12/15/2021</c:v>
                </c:pt>
                <c:pt idx="346">
                  <c:v>12/16/2021</c:v>
                </c:pt>
                <c:pt idx="347">
                  <c:v>12/17/2021</c:v>
                </c:pt>
                <c:pt idx="348">
                  <c:v>12/18/2021</c:v>
                </c:pt>
                <c:pt idx="349">
                  <c:v>12/19/2021</c:v>
                </c:pt>
                <c:pt idx="350">
                  <c:v>12/20/2021</c:v>
                </c:pt>
                <c:pt idx="351">
                  <c:v>12/21/2021</c:v>
                </c:pt>
                <c:pt idx="352">
                  <c:v>12/22/2021</c:v>
                </c:pt>
                <c:pt idx="353">
                  <c:v>12/23/2021</c:v>
                </c:pt>
                <c:pt idx="354">
                  <c:v>12/24/2021</c:v>
                </c:pt>
                <c:pt idx="355">
                  <c:v>12/25/2021</c:v>
                </c:pt>
                <c:pt idx="356">
                  <c:v>12/26/2021</c:v>
                </c:pt>
                <c:pt idx="357">
                  <c:v>12/27/2021</c:v>
                </c:pt>
                <c:pt idx="358">
                  <c:v>12/28/2021</c:v>
                </c:pt>
                <c:pt idx="359">
                  <c:v>12/29/2021</c:v>
                </c:pt>
                <c:pt idx="360">
                  <c:v>12/30/2021</c:v>
                </c:pt>
                <c:pt idx="361">
                  <c:v>12/31/2021</c:v>
                </c:pt>
              </c:strCache>
            </c:strRef>
          </c:cat>
          <c:val>
            <c:numRef>
              <c:f>EDA!$H$3:$H$365</c:f>
              <c:numCache>
                <c:formatCode>General</c:formatCode>
                <c:ptCount val="362"/>
                <c:pt idx="0">
                  <c:v>3769.99</c:v>
                </c:pt>
                <c:pt idx="1">
                  <c:v>3737.83</c:v>
                </c:pt>
                <c:pt idx="2">
                  <c:v>3783.04</c:v>
                </c:pt>
                <c:pt idx="3">
                  <c:v>3811.55</c:v>
                </c:pt>
                <c:pt idx="4">
                  <c:v>3826.69</c:v>
                </c:pt>
                <c:pt idx="7">
                  <c:v>3817.86</c:v>
                </c:pt>
                <c:pt idx="8">
                  <c:v>3810.78</c:v>
                </c:pt>
                <c:pt idx="9">
                  <c:v>3820.96</c:v>
                </c:pt>
                <c:pt idx="10">
                  <c:v>3823.6</c:v>
                </c:pt>
                <c:pt idx="11">
                  <c:v>3788.73</c:v>
                </c:pt>
                <c:pt idx="15">
                  <c:v>3804.53</c:v>
                </c:pt>
                <c:pt idx="16">
                  <c:v>3859.75</c:v>
                </c:pt>
                <c:pt idx="17">
                  <c:v>3861.45</c:v>
                </c:pt>
                <c:pt idx="18">
                  <c:v>3852.31</c:v>
                </c:pt>
                <c:pt idx="21">
                  <c:v>3859.23</c:v>
                </c:pt>
                <c:pt idx="22">
                  <c:v>3870.9</c:v>
                </c:pt>
                <c:pt idx="23">
                  <c:v>3836.83</c:v>
                </c:pt>
                <c:pt idx="24">
                  <c:v>3830.5</c:v>
                </c:pt>
                <c:pt idx="25">
                  <c:v>3778.05</c:v>
                </c:pt>
                <c:pt idx="28">
                  <c:v>3784.32</c:v>
                </c:pt>
                <c:pt idx="29">
                  <c:v>3843.09</c:v>
                </c:pt>
                <c:pt idx="30">
                  <c:v>3847.51</c:v>
                </c:pt>
                <c:pt idx="31">
                  <c:v>3872.42</c:v>
                </c:pt>
                <c:pt idx="32">
                  <c:v>3894.56</c:v>
                </c:pt>
                <c:pt idx="35">
                  <c:v>3915.77</c:v>
                </c:pt>
                <c:pt idx="36">
                  <c:v>3918.35</c:v>
                </c:pt>
                <c:pt idx="37">
                  <c:v>3931.5</c:v>
                </c:pt>
                <c:pt idx="38">
                  <c:v>3925.99</c:v>
                </c:pt>
                <c:pt idx="39">
                  <c:v>3937.23</c:v>
                </c:pt>
                <c:pt idx="43">
                  <c:v>3950.43</c:v>
                </c:pt>
                <c:pt idx="44">
                  <c:v>3933.61</c:v>
                </c:pt>
                <c:pt idx="45">
                  <c:v>3921.98</c:v>
                </c:pt>
                <c:pt idx="46">
                  <c:v>3930.41</c:v>
                </c:pt>
                <c:pt idx="49">
                  <c:v>3902.92</c:v>
                </c:pt>
                <c:pt idx="50">
                  <c:v>3895.98</c:v>
                </c:pt>
                <c:pt idx="51">
                  <c:v>3928.65</c:v>
                </c:pt>
                <c:pt idx="52">
                  <c:v>3925.02</c:v>
                </c:pt>
                <c:pt idx="53">
                  <c:v>3861.08</c:v>
                </c:pt>
                <c:pt idx="56">
                  <c:v>3914.5</c:v>
                </c:pt>
                <c:pt idx="57">
                  <c:v>3906.41</c:v>
                </c:pt>
                <c:pt idx="58">
                  <c:v>3874.47</c:v>
                </c:pt>
                <c:pt idx="59">
                  <c:v>3843.67</c:v>
                </c:pt>
                <c:pt idx="60">
                  <c:v>3851.69</c:v>
                </c:pt>
                <c:pt idx="63">
                  <c:v>3881.06</c:v>
                </c:pt>
                <c:pt idx="64">
                  <c:v>3903.76</c:v>
                </c:pt>
                <c:pt idx="65">
                  <c:v>3917.35</c:v>
                </c:pt>
                <c:pt idx="66">
                  <c:v>3960.27</c:v>
                </c:pt>
                <c:pt idx="67">
                  <c:v>3944.99</c:v>
                </c:pt>
                <c:pt idx="70">
                  <c:v>3970.08</c:v>
                </c:pt>
                <c:pt idx="71">
                  <c:v>3981.04</c:v>
                </c:pt>
                <c:pt idx="72">
                  <c:v>3983.87</c:v>
                </c:pt>
                <c:pt idx="73">
                  <c:v>3969.62</c:v>
                </c:pt>
                <c:pt idx="74">
                  <c:v>3930.12</c:v>
                </c:pt>
                <c:pt idx="77">
                  <c:v>3955.31</c:v>
                </c:pt>
                <c:pt idx="78">
                  <c:v>3949.13</c:v>
                </c:pt>
                <c:pt idx="79">
                  <c:v>3942.08</c:v>
                </c:pt>
                <c:pt idx="80">
                  <c:v>3919.54</c:v>
                </c:pt>
                <c:pt idx="81">
                  <c:v>3978.19</c:v>
                </c:pt>
                <c:pt idx="84">
                  <c:v>3981.83</c:v>
                </c:pt>
                <c:pt idx="85">
                  <c:v>3968.01</c:v>
                </c:pt>
                <c:pt idx="86">
                  <c:v>3994.41</c:v>
                </c:pt>
                <c:pt idx="87">
                  <c:v>4020.63</c:v>
                </c:pt>
                <c:pt idx="91">
                  <c:v>4083.42</c:v>
                </c:pt>
                <c:pt idx="92">
                  <c:v>4086.23</c:v>
                </c:pt>
                <c:pt idx="93">
                  <c:v>4083.13</c:v>
                </c:pt>
                <c:pt idx="94">
                  <c:v>4098.1899999999996</c:v>
                </c:pt>
                <c:pt idx="95">
                  <c:v>4129.4799999999996</c:v>
                </c:pt>
                <c:pt idx="98">
                  <c:v>4131.76</c:v>
                </c:pt>
                <c:pt idx="99">
                  <c:v>4148</c:v>
                </c:pt>
                <c:pt idx="100">
                  <c:v>4151.6899999999996</c:v>
                </c:pt>
                <c:pt idx="101">
                  <c:v>4173.49</c:v>
                </c:pt>
                <c:pt idx="102">
                  <c:v>4191.3100000000004</c:v>
                </c:pt>
                <c:pt idx="105">
                  <c:v>4180.8100000000004</c:v>
                </c:pt>
                <c:pt idx="106">
                  <c:v>4159.18</c:v>
                </c:pt>
                <c:pt idx="107">
                  <c:v>4175.0200000000004</c:v>
                </c:pt>
                <c:pt idx="108">
                  <c:v>4179.57</c:v>
                </c:pt>
                <c:pt idx="109">
                  <c:v>4194.17</c:v>
                </c:pt>
                <c:pt idx="112">
                  <c:v>4194.1899999999996</c:v>
                </c:pt>
                <c:pt idx="113">
                  <c:v>4193.3500000000004</c:v>
                </c:pt>
                <c:pt idx="114">
                  <c:v>4201.53</c:v>
                </c:pt>
                <c:pt idx="115">
                  <c:v>4218.78</c:v>
                </c:pt>
                <c:pt idx="116">
                  <c:v>4198.1000000000004</c:v>
                </c:pt>
                <c:pt idx="119">
                  <c:v>4209.3900000000003</c:v>
                </c:pt>
                <c:pt idx="120">
                  <c:v>4179.04</c:v>
                </c:pt>
                <c:pt idx="121">
                  <c:v>4187.72</c:v>
                </c:pt>
                <c:pt idx="122">
                  <c:v>4202.7</c:v>
                </c:pt>
                <c:pt idx="123">
                  <c:v>4238.04</c:v>
                </c:pt>
                <c:pt idx="126">
                  <c:v>4236.3900000000003</c:v>
                </c:pt>
                <c:pt idx="127">
                  <c:v>4162.04</c:v>
                </c:pt>
                <c:pt idx="128">
                  <c:v>4134.7299999999996</c:v>
                </c:pt>
                <c:pt idx="129">
                  <c:v>4131.58</c:v>
                </c:pt>
                <c:pt idx="130">
                  <c:v>4183.13</c:v>
                </c:pt>
                <c:pt idx="133">
                  <c:v>4171.92</c:v>
                </c:pt>
                <c:pt idx="134">
                  <c:v>4169.1499999999996</c:v>
                </c:pt>
                <c:pt idx="135">
                  <c:v>4116.93</c:v>
                </c:pt>
                <c:pt idx="136">
                  <c:v>4172.8</c:v>
                </c:pt>
                <c:pt idx="137">
                  <c:v>4188.72</c:v>
                </c:pt>
                <c:pt idx="140">
                  <c:v>4209.5200000000004</c:v>
                </c:pt>
                <c:pt idx="141">
                  <c:v>4213.42</c:v>
                </c:pt>
                <c:pt idx="142">
                  <c:v>4202.6099999999997</c:v>
                </c:pt>
                <c:pt idx="143">
                  <c:v>4213.38</c:v>
                </c:pt>
                <c:pt idx="144">
                  <c:v>4218.3599999999997</c:v>
                </c:pt>
                <c:pt idx="148">
                  <c:v>4234.12</c:v>
                </c:pt>
                <c:pt idx="149">
                  <c:v>4217.37</c:v>
                </c:pt>
                <c:pt idx="150">
                  <c:v>4204.3900000000003</c:v>
                </c:pt>
                <c:pt idx="151">
                  <c:v>4233.45</c:v>
                </c:pt>
                <c:pt idx="154">
                  <c:v>4232.34</c:v>
                </c:pt>
                <c:pt idx="155">
                  <c:v>4236.74</c:v>
                </c:pt>
                <c:pt idx="156">
                  <c:v>4237.09</c:v>
                </c:pt>
                <c:pt idx="157">
                  <c:v>4249.74</c:v>
                </c:pt>
                <c:pt idx="158">
                  <c:v>4248.38</c:v>
                </c:pt>
                <c:pt idx="161">
                  <c:v>4255.59</c:v>
                </c:pt>
                <c:pt idx="162">
                  <c:v>4257.16</c:v>
                </c:pt>
                <c:pt idx="163">
                  <c:v>4251.8900000000003</c:v>
                </c:pt>
                <c:pt idx="164">
                  <c:v>4232.29</c:v>
                </c:pt>
                <c:pt idx="165">
                  <c:v>4204.78</c:v>
                </c:pt>
                <c:pt idx="168">
                  <c:v>4226.24</c:v>
                </c:pt>
                <c:pt idx="169">
                  <c:v>4255.84</c:v>
                </c:pt>
                <c:pt idx="170">
                  <c:v>4256.6000000000004</c:v>
                </c:pt>
                <c:pt idx="171">
                  <c:v>4271.28</c:v>
                </c:pt>
                <c:pt idx="172">
                  <c:v>4286.12</c:v>
                </c:pt>
                <c:pt idx="175">
                  <c:v>4292.1400000000003</c:v>
                </c:pt>
                <c:pt idx="176">
                  <c:v>4300.5200000000004</c:v>
                </c:pt>
                <c:pt idx="177">
                  <c:v>4302.43</c:v>
                </c:pt>
                <c:pt idx="178">
                  <c:v>4320.66</c:v>
                </c:pt>
                <c:pt idx="179">
                  <c:v>4355.43</c:v>
                </c:pt>
                <c:pt idx="183">
                  <c:v>4356.46</c:v>
                </c:pt>
                <c:pt idx="184">
                  <c:v>4361.88</c:v>
                </c:pt>
                <c:pt idx="185">
                  <c:v>4330.88</c:v>
                </c:pt>
                <c:pt idx="186">
                  <c:v>4371.6000000000004</c:v>
                </c:pt>
                <c:pt idx="189">
                  <c:v>4386.68</c:v>
                </c:pt>
                <c:pt idx="190">
                  <c:v>4392.37</c:v>
                </c:pt>
                <c:pt idx="191">
                  <c:v>4393.68</c:v>
                </c:pt>
                <c:pt idx="192">
                  <c:v>4369.0200000000004</c:v>
                </c:pt>
                <c:pt idx="193">
                  <c:v>4375.09</c:v>
                </c:pt>
                <c:pt idx="196">
                  <c:v>4296.3999999999996</c:v>
                </c:pt>
                <c:pt idx="197">
                  <c:v>4336.84</c:v>
                </c:pt>
                <c:pt idx="198">
                  <c:v>4359.7</c:v>
                </c:pt>
                <c:pt idx="199">
                  <c:v>4369.87</c:v>
                </c:pt>
                <c:pt idx="200">
                  <c:v>4415.18</c:v>
                </c:pt>
                <c:pt idx="203">
                  <c:v>4422.7299999999996</c:v>
                </c:pt>
                <c:pt idx="204">
                  <c:v>4416.38</c:v>
                </c:pt>
                <c:pt idx="205">
                  <c:v>4415.47</c:v>
                </c:pt>
                <c:pt idx="206">
                  <c:v>4429.97</c:v>
                </c:pt>
                <c:pt idx="207">
                  <c:v>4412.25</c:v>
                </c:pt>
                <c:pt idx="210">
                  <c:v>4422.18</c:v>
                </c:pt>
                <c:pt idx="211">
                  <c:v>4423.79</c:v>
                </c:pt>
                <c:pt idx="212">
                  <c:v>4416.17</c:v>
                </c:pt>
                <c:pt idx="213">
                  <c:v>4429.76</c:v>
                </c:pt>
                <c:pt idx="214">
                  <c:v>4440.82</c:v>
                </c:pt>
                <c:pt idx="217">
                  <c:v>4439.3900000000003</c:v>
                </c:pt>
                <c:pt idx="218">
                  <c:v>4445.21</c:v>
                </c:pt>
                <c:pt idx="219">
                  <c:v>4449.4399999999996</c:v>
                </c:pt>
                <c:pt idx="220">
                  <c:v>4461.7700000000004</c:v>
                </c:pt>
                <c:pt idx="221">
                  <c:v>4468.37</c:v>
                </c:pt>
                <c:pt idx="224">
                  <c:v>4480.26</c:v>
                </c:pt>
                <c:pt idx="225">
                  <c:v>4462.12</c:v>
                </c:pt>
                <c:pt idx="226">
                  <c:v>4454.32</c:v>
                </c:pt>
                <c:pt idx="227">
                  <c:v>4418.6099999999997</c:v>
                </c:pt>
                <c:pt idx="228">
                  <c:v>4444.3500000000004</c:v>
                </c:pt>
                <c:pt idx="231">
                  <c:v>4489.88</c:v>
                </c:pt>
                <c:pt idx="232">
                  <c:v>4492.8100000000004</c:v>
                </c:pt>
                <c:pt idx="233">
                  <c:v>4501.71</c:v>
                </c:pt>
                <c:pt idx="234">
                  <c:v>4495.8999999999996</c:v>
                </c:pt>
                <c:pt idx="235">
                  <c:v>4513.33</c:v>
                </c:pt>
                <c:pt idx="238">
                  <c:v>4537.3599999999997</c:v>
                </c:pt>
                <c:pt idx="239">
                  <c:v>4531.3900000000003</c:v>
                </c:pt>
                <c:pt idx="240">
                  <c:v>4537.1099999999997</c:v>
                </c:pt>
                <c:pt idx="241">
                  <c:v>4545.8500000000004</c:v>
                </c:pt>
                <c:pt idx="242">
                  <c:v>4541.45</c:v>
                </c:pt>
                <c:pt idx="246">
                  <c:v>4535.38</c:v>
                </c:pt>
                <c:pt idx="247">
                  <c:v>4521.79</c:v>
                </c:pt>
                <c:pt idx="248">
                  <c:v>4529.8999999999996</c:v>
                </c:pt>
                <c:pt idx="249">
                  <c:v>4520.47</c:v>
                </c:pt>
                <c:pt idx="252">
                  <c:v>4492.99</c:v>
                </c:pt>
                <c:pt idx="253">
                  <c:v>4485.68</c:v>
                </c:pt>
                <c:pt idx="254">
                  <c:v>4486.87</c:v>
                </c:pt>
                <c:pt idx="255">
                  <c:v>4485.87</c:v>
                </c:pt>
                <c:pt idx="256">
                  <c:v>4471.5200000000004</c:v>
                </c:pt>
                <c:pt idx="259">
                  <c:v>4402.95</c:v>
                </c:pt>
                <c:pt idx="260">
                  <c:v>4394.87</c:v>
                </c:pt>
                <c:pt idx="261">
                  <c:v>4416.75</c:v>
                </c:pt>
                <c:pt idx="262">
                  <c:v>4465.3999999999996</c:v>
                </c:pt>
                <c:pt idx="263">
                  <c:v>4463.12</c:v>
                </c:pt>
                <c:pt idx="266">
                  <c:v>4457.3</c:v>
                </c:pt>
                <c:pt idx="267">
                  <c:v>4419.54</c:v>
                </c:pt>
                <c:pt idx="268">
                  <c:v>4385.57</c:v>
                </c:pt>
                <c:pt idx="269">
                  <c:v>4382.55</c:v>
                </c:pt>
                <c:pt idx="270">
                  <c:v>4375.1899999999996</c:v>
                </c:pt>
                <c:pt idx="273">
                  <c:v>4355.51</c:v>
                </c:pt>
                <c:pt idx="274">
                  <c:v>4369.2299999999996</c:v>
                </c:pt>
                <c:pt idx="275">
                  <c:v>4365.57</c:v>
                </c:pt>
                <c:pt idx="276">
                  <c:v>4429.97</c:v>
                </c:pt>
                <c:pt idx="277">
                  <c:v>4412.0200000000004</c:v>
                </c:pt>
                <c:pt idx="280">
                  <c:v>4415.88</c:v>
                </c:pt>
                <c:pt idx="281">
                  <c:v>4374.8900000000003</c:v>
                </c:pt>
                <c:pt idx="282">
                  <c:v>4372.87</c:v>
                </c:pt>
                <c:pt idx="283">
                  <c:v>4439.7299999999996</c:v>
                </c:pt>
                <c:pt idx="284">
                  <c:v>4475.82</c:v>
                </c:pt>
                <c:pt idx="287">
                  <c:v>4488.75</c:v>
                </c:pt>
                <c:pt idx="288">
                  <c:v>4520.3999999999996</c:v>
                </c:pt>
                <c:pt idx="289">
                  <c:v>4540.87</c:v>
                </c:pt>
                <c:pt idx="290">
                  <c:v>4551.4399999999996</c:v>
                </c:pt>
                <c:pt idx="291">
                  <c:v>4559.67</c:v>
                </c:pt>
                <c:pt idx="294">
                  <c:v>4572.62</c:v>
                </c:pt>
                <c:pt idx="295">
                  <c:v>4598.53</c:v>
                </c:pt>
                <c:pt idx="296">
                  <c:v>4584.57</c:v>
                </c:pt>
                <c:pt idx="297">
                  <c:v>4597.55</c:v>
                </c:pt>
                <c:pt idx="298">
                  <c:v>4608.08</c:v>
                </c:pt>
                <c:pt idx="301">
                  <c:v>4620.34</c:v>
                </c:pt>
                <c:pt idx="302">
                  <c:v>4635.1499999999996</c:v>
                </c:pt>
                <c:pt idx="303">
                  <c:v>4663.46</c:v>
                </c:pt>
                <c:pt idx="304">
                  <c:v>4683</c:v>
                </c:pt>
                <c:pt idx="305">
                  <c:v>4718.5</c:v>
                </c:pt>
                <c:pt idx="308">
                  <c:v>4714.92</c:v>
                </c:pt>
                <c:pt idx="309">
                  <c:v>4708.53</c:v>
                </c:pt>
                <c:pt idx="310">
                  <c:v>4684.8500000000004</c:v>
                </c:pt>
                <c:pt idx="311">
                  <c:v>4664.55</c:v>
                </c:pt>
                <c:pt idx="312">
                  <c:v>4688.47</c:v>
                </c:pt>
                <c:pt idx="315">
                  <c:v>4697.42</c:v>
                </c:pt>
                <c:pt idx="316">
                  <c:v>4714.95</c:v>
                </c:pt>
                <c:pt idx="317">
                  <c:v>4701.5</c:v>
                </c:pt>
                <c:pt idx="318">
                  <c:v>4708.8</c:v>
                </c:pt>
                <c:pt idx="319">
                  <c:v>4717.75</c:v>
                </c:pt>
                <c:pt idx="322">
                  <c:v>4743.83</c:v>
                </c:pt>
                <c:pt idx="323">
                  <c:v>4699.3900000000003</c:v>
                </c:pt>
                <c:pt idx="324">
                  <c:v>4702.87</c:v>
                </c:pt>
                <c:pt idx="326">
                  <c:v>4664.63</c:v>
                </c:pt>
                <c:pt idx="329">
                  <c:v>4672.95</c:v>
                </c:pt>
                <c:pt idx="330">
                  <c:v>4646.0200000000004</c:v>
                </c:pt>
                <c:pt idx="331">
                  <c:v>4652.9399999999996</c:v>
                </c:pt>
                <c:pt idx="332">
                  <c:v>4595.46</c:v>
                </c:pt>
                <c:pt idx="333">
                  <c:v>4608.03</c:v>
                </c:pt>
                <c:pt idx="336">
                  <c:v>4612.6000000000004</c:v>
                </c:pt>
                <c:pt idx="337">
                  <c:v>4694.04</c:v>
                </c:pt>
                <c:pt idx="338">
                  <c:v>4705.0600000000004</c:v>
                </c:pt>
                <c:pt idx="339">
                  <c:v>4695.26</c:v>
                </c:pt>
                <c:pt idx="340">
                  <c:v>4713.57</c:v>
                </c:pt>
                <c:pt idx="343">
                  <c:v>4710.3</c:v>
                </c:pt>
                <c:pt idx="344">
                  <c:v>4660.47</c:v>
                </c:pt>
                <c:pt idx="345">
                  <c:v>4712.6000000000004</c:v>
                </c:pt>
                <c:pt idx="346">
                  <c:v>4731.99</c:v>
                </c:pt>
                <c:pt idx="347">
                  <c:v>4666.7</c:v>
                </c:pt>
                <c:pt idx="350">
                  <c:v>4587.8999999999996</c:v>
                </c:pt>
                <c:pt idx="351">
                  <c:v>4651.1400000000003</c:v>
                </c:pt>
                <c:pt idx="352">
                  <c:v>4697.67</c:v>
                </c:pt>
                <c:pt idx="353">
                  <c:v>4740.74</c:v>
                </c:pt>
                <c:pt idx="357">
                  <c:v>4791.49</c:v>
                </c:pt>
                <c:pt idx="358">
                  <c:v>4807.0200000000004</c:v>
                </c:pt>
                <c:pt idx="359">
                  <c:v>4804.0600000000004</c:v>
                </c:pt>
                <c:pt idx="360">
                  <c:v>4808.93</c:v>
                </c:pt>
                <c:pt idx="361">
                  <c:v>4786.83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3-4CD6-AC70-772299055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217663"/>
        <c:axId val="1403219103"/>
      </c:lineChart>
      <c:catAx>
        <c:axId val="14032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03219103"/>
        <c:crosses val="autoZero"/>
        <c:auto val="1"/>
        <c:lblAlgn val="ctr"/>
        <c:lblOffset val="100"/>
        <c:noMultiLvlLbl val="0"/>
      </c:catAx>
      <c:valAx>
        <c:axId val="1403219103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032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0" u="none" strike="noStrike" baseline="0"/>
              <a:t>“2021 Percentage Increase: Bitcoin vs S&amp;P 500”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Upside!$D$1</c:f>
              <c:strCache>
                <c:ptCount val="1"/>
                <c:pt idx="0">
                  <c:v>% 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Upside!$A$2:$A$3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Upside!$D$2:$D$3</c:f>
              <c:numCache>
                <c:formatCode>0.0%</c:formatCode>
                <c:ptCount val="2"/>
                <c:pt idx="0">
                  <c:v>0.4042766670732032</c:v>
                </c:pt>
                <c:pt idx="1">
                  <c:v>0.26844746202129832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5-48B9-9F0A-8BA6C7887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423343"/>
        <c:axId val="906419503"/>
      </c:barChart>
      <c:catAx>
        <c:axId val="90642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6419503"/>
        <c:crosses val="autoZero"/>
        <c:auto val="1"/>
        <c:lblAlgn val="ctr"/>
        <c:lblOffset val="100"/>
        <c:noMultiLvlLbl val="0"/>
      </c:catAx>
      <c:valAx>
        <c:axId val="90641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0642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0" u="none" strike="noStrike" baseline="0"/>
              <a:t>2021 Volatility: Bitcoin vs S&amp;P500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Spread!$D$1</c:f>
              <c:strCache>
                <c:ptCount val="1"/>
                <c:pt idx="0">
                  <c:v>Low as % of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Spread!$A$2:$A$3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Spread!$D$2:$D$3</c:f>
              <c:numCache>
                <c:formatCode>0.0%</c:formatCode>
                <c:ptCount val="2"/>
                <c:pt idx="0">
                  <c:v>9.2107800000000004E-2</c:v>
                </c:pt>
                <c:pt idx="1">
                  <c:v>0.76164760144148491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4-40C4-B254-D521DA2CA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39279"/>
        <c:axId val="65740239"/>
      </c:barChart>
      <c:catAx>
        <c:axId val="657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5740239"/>
        <c:crosses val="autoZero"/>
        <c:auto val="1"/>
        <c:lblAlgn val="ctr"/>
        <c:lblOffset val="100"/>
        <c:noMultiLvlLbl val="0"/>
      </c:catAx>
      <c:valAx>
        <c:axId val="657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573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662940</xdr:colOff>
      <xdr:row>0</xdr:row>
      <xdr:rowOff>190500</xdr:rowOff>
    </xdr:from>
    <xdr:to>
      <xdr:col>15</xdr:col>
      <xdr:colOff>659130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C7CFA-CB99-6566-04B9-FE8857AAA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0</xdr:colOff>
      <xdr:row>16</xdr:row>
      <xdr:rowOff>15240</xdr:rowOff>
    </xdr:from>
    <xdr:ext cx="4053840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092AB6-DB75-24CF-3AC3-50E18615444F}"/>
            </a:ext>
          </a:extLst>
        </xdr:cNvPr>
        <xdr:cNvSpPr txBox="1"/>
      </xdr:nvSpPr>
      <xdr:spPr>
        <a:xfrm>
          <a:off x="9425940" y="3185160"/>
          <a:ext cx="4053840" cy="78124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l-NL"/>
            <a:t>Throughout 2021, Bitcoin showed strong upward momentum but with substantial fluctuations.</a:t>
          </a:r>
          <a:br>
            <a:rPr lang="nl-NL"/>
          </a:br>
          <a:r>
            <a:rPr lang="nl-NL"/>
            <a:t>The S&amp;P500 displayed steadier and more gradual growth patterns, reflecting lower volatility and more predictable behavior.</a:t>
          </a:r>
          <a:endParaRPr lang="nl-NL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1</xdr:row>
      <xdr:rowOff>15240</xdr:rowOff>
    </xdr:from>
    <xdr:ext cx="5356860" cy="21589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C1BD2C-1B02-2248-3DBF-53A3E488CE21}"/>
            </a:ext>
          </a:extLst>
        </xdr:cNvPr>
        <xdr:cNvSpPr txBox="1"/>
      </xdr:nvSpPr>
      <xdr:spPr>
        <a:xfrm>
          <a:off x="7620" y="213360"/>
          <a:ext cx="5356860" cy="21589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l-NL" sz="1200"/>
            <a:t>Based on the analysis, Bitcoin delivered higher returns in 2021 but exhibited significantly greater volatility.</a:t>
          </a:r>
          <a:br>
            <a:rPr lang="nl-NL" sz="1200"/>
          </a:br>
          <a:r>
            <a:rPr lang="nl-NL" sz="1200"/>
            <a:t>The S&amp;P500 demonstrated more stable and consistent performance with lower risk.</a:t>
          </a:r>
        </a:p>
        <a:p>
          <a:r>
            <a:rPr lang="nl-NL" sz="1200"/>
            <a:t>For investors seeking higher potential gains and willing to tolerate substantial price fluctuations, Bitcoin may be suitable.</a:t>
          </a:r>
          <a:br>
            <a:rPr lang="nl-NL" sz="1200"/>
          </a:br>
          <a:r>
            <a:rPr lang="nl-NL" sz="1200"/>
            <a:t>However, for risk-averse investors prioritizing stability and long-term consistency, the S&amp;P500 remains the more conservative option.</a:t>
          </a:r>
        </a:p>
        <a:p>
          <a:r>
            <a:rPr lang="nl-NL" sz="1200"/>
            <a:t>A diversified strategy combining both assets may balance return potential and risk management.</a:t>
          </a:r>
        </a:p>
        <a:p>
          <a:endParaRPr lang="nl-NL" sz="12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</xdr:colOff>
      <xdr:row>1</xdr:row>
      <xdr:rowOff>15240</xdr:rowOff>
    </xdr:from>
    <xdr:to>
      <xdr:col>10</xdr:col>
      <xdr:colOff>0</xdr:colOff>
      <xdr:row>15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A9705A-175E-615A-CA33-8858CE92B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7620</xdr:colOff>
      <xdr:row>16</xdr:row>
      <xdr:rowOff>0</xdr:rowOff>
    </xdr:from>
    <xdr:ext cx="4251960" cy="796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DA718E-F50F-2178-4488-52694B8CFA5F}"/>
            </a:ext>
          </a:extLst>
        </xdr:cNvPr>
        <xdr:cNvSpPr txBox="1"/>
      </xdr:nvSpPr>
      <xdr:spPr>
        <a:xfrm>
          <a:off x="4343400" y="3169920"/>
          <a:ext cx="4251960" cy="79648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l-NL"/>
            <a:t>In 2021, Bitcoin increased approximately 40%, while the S&amp;P500 increased about 27%.</a:t>
          </a:r>
          <a:br>
            <a:rPr lang="nl-NL"/>
          </a:br>
          <a:r>
            <a:rPr lang="nl-NL"/>
            <a:t>This indicates that Bitcoin offered a higher potential return during this period.</a:t>
          </a:r>
          <a:endParaRPr lang="nl-NL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2</xdr:row>
      <xdr:rowOff>0</xdr:rowOff>
    </xdr:from>
    <xdr:to>
      <xdr:col>11</xdr:col>
      <xdr:colOff>0</xdr:colOff>
      <xdr:row>14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1F1DDF-C9D6-17DB-4669-1C40FA8D7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15240</xdr:colOff>
      <xdr:row>16</xdr:row>
      <xdr:rowOff>7620</xdr:rowOff>
    </xdr:from>
    <xdr:ext cx="4000500" cy="9829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426C92-79FB-3CF7-2924-08476A3F1D24}"/>
            </a:ext>
          </a:extLst>
        </xdr:cNvPr>
        <xdr:cNvSpPr txBox="1"/>
      </xdr:nvSpPr>
      <xdr:spPr>
        <a:xfrm>
          <a:off x="3893820" y="3177540"/>
          <a:ext cx="4000500" cy="98298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/>
            <a:t>Bitcoin experienced significantly larger price swings compared to the S&amp;P500.</a:t>
          </a:r>
          <a:br>
            <a:rPr lang="nl-NL"/>
          </a:br>
          <a:r>
            <a:rPr lang="nl-NL"/>
            <a:t>While the S&amp;P500 showed relatively stable movement, Bitcoin demonstrated high volatility, indicating higher risk exposure.</a:t>
          </a:r>
        </a:p>
        <a:p>
          <a:endParaRPr lang="nl-NL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n Stofkoper" refreshedDate="46072.640664583334" createdVersion="8" refreshedVersion="8" minRefreshableVersion="3" recordCount="614" xr:uid="{770EB026-FDE9-4ABC-8BE9-F16263730140}">
  <cacheSource type="worksheet">
    <worksheetSource name="data"/>
  </cacheSource>
  <cacheFields count="11">
    <cacheField name="Date" numFmtId="14">
      <sharedItems containsSemiMixedTypes="0" containsNonDate="0" containsDate="1" containsString="0" minDate="2021-01-04T00:00:00" maxDate="2022-01-01T00:00:00" count="362">
        <d v="2021-12-31T00:00:00"/>
        <d v="2021-12-30T00:00:00"/>
        <d v="2021-12-29T00:00:00"/>
        <d v="2021-12-28T00:00:00"/>
        <d v="2021-12-27T00:00:00"/>
        <d v="2021-12-23T00:00:00"/>
        <d v="2021-12-22T00:00:00"/>
        <d v="2021-12-21T00:00:00"/>
        <d v="2021-12-20T00:00:00"/>
        <d v="2021-12-17T00:00:00"/>
        <d v="2021-12-16T00:00:00"/>
        <d v="2021-12-15T00:00:00"/>
        <d v="2021-12-14T00:00:00"/>
        <d v="2021-12-13T00:00:00"/>
        <d v="2021-12-10T00:00:00"/>
        <d v="2021-12-09T00:00:00"/>
        <d v="2021-12-08T00:00:00"/>
        <d v="2021-12-07T00:00:00"/>
        <d v="2021-12-06T00:00:00"/>
        <d v="2021-12-03T00:00:00"/>
        <d v="2021-12-02T00:00:00"/>
        <d v="2021-12-01T00:00:00"/>
        <d v="2021-11-30T00:00:00"/>
        <d v="2021-11-29T00:00:00"/>
        <d v="2021-11-26T00:00:00"/>
        <d v="2021-11-24T00:00:00"/>
        <d v="2021-11-23T00:00:00"/>
        <d v="2021-11-22T00:00:00"/>
        <d v="2021-11-19T00:00:00"/>
        <d v="2021-11-18T00:00:00"/>
        <d v="2021-11-17T00:00:00"/>
        <d v="2021-11-16T00:00:00"/>
        <d v="2021-11-15T00:00:00"/>
        <d v="2021-11-12T00:00:00"/>
        <d v="2021-11-11T00:00:00"/>
        <d v="2021-11-10T00:00:00"/>
        <d v="2021-11-09T00:00:00"/>
        <d v="2021-11-08T00:00:00"/>
        <d v="2021-11-05T00:00:00"/>
        <d v="2021-11-04T00:00:00"/>
        <d v="2021-11-03T00:00:00"/>
        <d v="2021-11-02T00:00:00"/>
        <d v="2021-11-01T00:00:00"/>
        <d v="2021-10-29T00:00:00"/>
        <d v="2021-10-28T00:00:00"/>
        <d v="2021-10-27T00:00:00"/>
        <d v="2021-10-26T00:00:00"/>
        <d v="2021-10-25T00:00:00"/>
        <d v="2021-10-22T00:00:00"/>
        <d v="2021-10-21T00:00:00"/>
        <d v="2021-10-20T00:00:00"/>
        <d v="2021-10-19T00:00:00"/>
        <d v="2021-10-18T00:00:00"/>
        <d v="2021-10-15T00:00:00"/>
        <d v="2021-10-14T00:00:00"/>
        <d v="2021-10-13T00:00:00"/>
        <d v="2021-10-12T00:00:00"/>
        <d v="2021-10-11T00:00:00"/>
        <d v="2021-10-08T00:00:00"/>
        <d v="2021-10-07T00:00:00"/>
        <d v="2021-10-06T00:00:00"/>
        <d v="2021-10-05T00:00:00"/>
        <d v="2021-10-04T00:00:00"/>
        <d v="2021-10-01T00:00:00"/>
        <d v="2021-09-30T00:00:00"/>
        <d v="2021-09-29T00:00:00"/>
        <d v="2021-09-28T00:00:00"/>
        <d v="2021-09-27T00:00:00"/>
        <d v="2021-09-24T00:00:00"/>
        <d v="2021-09-23T00:00:00"/>
        <d v="2021-09-22T00:00:00"/>
        <d v="2021-09-21T00:00:00"/>
        <d v="2021-09-20T00:00:00"/>
        <d v="2021-09-17T00:00:00"/>
        <d v="2021-09-16T00:00:00"/>
        <d v="2021-09-15T00:00:00"/>
        <d v="2021-09-14T00:00:00"/>
        <d v="2021-09-13T00:00:00"/>
        <d v="2021-09-10T00:00:00"/>
        <d v="2021-09-09T00:00:00"/>
        <d v="2021-09-08T00:00:00"/>
        <d v="2021-09-07T00:00:00"/>
        <d v="2021-09-03T00:00:00"/>
        <d v="2021-09-02T00:00:00"/>
        <d v="2021-09-01T00:00:00"/>
        <d v="2021-08-31T00:00:00"/>
        <d v="2021-08-30T00:00:00"/>
        <d v="2021-08-27T00:00:00"/>
        <d v="2021-08-26T00:00:00"/>
        <d v="2021-08-25T00:00:00"/>
        <d v="2021-08-24T00:00:00"/>
        <d v="2021-08-23T00:00:00"/>
        <d v="2021-08-20T00:00:00"/>
        <d v="2021-08-19T00:00:00"/>
        <d v="2021-08-18T00:00:00"/>
        <d v="2021-08-17T00:00:00"/>
        <d v="2021-08-16T00:00:00"/>
        <d v="2021-08-13T00:00:00"/>
        <d v="2021-08-12T00:00:00"/>
        <d v="2021-08-11T00:00:00"/>
        <d v="2021-08-10T00:00:00"/>
        <d v="2021-08-09T00:00:00"/>
        <d v="2021-08-06T00:00:00"/>
        <d v="2021-08-05T00:00:00"/>
        <d v="2021-08-04T00:00:00"/>
        <d v="2021-08-03T00:00:00"/>
        <d v="2021-08-02T00:00:00"/>
        <d v="2021-07-30T00:00:00"/>
        <d v="2021-07-29T00:00:00"/>
        <d v="2021-07-28T00:00:00"/>
        <d v="2021-07-27T00:00:00"/>
        <d v="2021-07-26T00:00:00"/>
        <d v="2021-07-23T00:00:00"/>
        <d v="2021-07-22T00:00:00"/>
        <d v="2021-07-21T00:00:00"/>
        <d v="2021-07-20T00:00:00"/>
        <d v="2021-07-19T00:00:00"/>
        <d v="2021-07-16T00:00:00"/>
        <d v="2021-07-15T00:00:00"/>
        <d v="2021-07-14T00:00:00"/>
        <d v="2021-07-13T00:00:00"/>
        <d v="2021-07-12T00:00:00"/>
        <d v="2021-07-09T00:00:00"/>
        <d v="2021-07-08T00:00:00"/>
        <d v="2021-07-07T00:00:00"/>
        <d v="2021-07-06T00:00:00"/>
        <d v="2021-07-02T00:00:00"/>
        <d v="2021-07-01T00:00:00"/>
        <d v="2021-06-30T00:00:00"/>
        <d v="2021-06-29T00:00:00"/>
        <d v="2021-06-28T00:00:00"/>
        <d v="2021-06-25T00:00:00"/>
        <d v="2021-06-24T00:00:00"/>
        <d v="2021-06-23T00:00:00"/>
        <d v="2021-06-22T00:00:00"/>
        <d v="2021-06-21T00:00:00"/>
        <d v="2021-06-18T00:00:00"/>
        <d v="2021-06-17T00:00:00"/>
        <d v="2021-06-16T00:00:00"/>
        <d v="2021-06-15T00:00:00"/>
        <d v="2021-06-14T00:00:00"/>
        <d v="2021-06-11T00:00:00"/>
        <d v="2021-06-10T00:00:00"/>
        <d v="2021-06-09T00:00:00"/>
        <d v="2021-06-08T00:00:00"/>
        <d v="2021-06-07T00:00:00"/>
        <d v="2021-06-04T00:00:00"/>
        <d v="2021-06-03T00:00:00"/>
        <d v="2021-06-02T00:00:00"/>
        <d v="2021-06-01T00:00:00"/>
        <d v="2021-05-28T00:00:00"/>
        <d v="2021-05-27T00:00:00"/>
        <d v="2021-05-26T00:00:00"/>
        <d v="2021-05-25T00:00:00"/>
        <d v="2021-05-24T00:00:00"/>
        <d v="2021-05-21T00:00:00"/>
        <d v="2021-05-20T00:00:00"/>
        <d v="2021-05-19T00:00:00"/>
        <d v="2021-05-18T00:00:00"/>
        <d v="2021-05-17T00:00:00"/>
        <d v="2021-05-14T00:00:00"/>
        <d v="2021-05-13T00:00:00"/>
        <d v="2021-05-12T00:00:00"/>
        <d v="2021-05-11T00:00:00"/>
        <d v="2021-05-10T00:00:00"/>
        <d v="2021-05-07T00:00:00"/>
        <d v="2021-05-06T00:00:00"/>
        <d v="2021-05-05T00:00:00"/>
        <d v="2021-05-04T00:00:00"/>
        <d v="2021-05-03T00:00:00"/>
        <d v="2021-04-30T00:00:00"/>
        <d v="2021-04-29T00:00:00"/>
        <d v="2021-04-28T00:00:00"/>
        <d v="2021-04-27T00:00:00"/>
        <d v="2021-04-26T00:00:00"/>
        <d v="2021-04-23T00:00:00"/>
        <d v="2021-04-22T00:00:00"/>
        <d v="2021-04-21T00:00:00"/>
        <d v="2021-04-20T00:00:00"/>
        <d v="2021-04-19T00:00:00"/>
        <d v="2021-04-16T00:00:00"/>
        <d v="2021-04-15T00:00:00"/>
        <d v="2021-04-14T00:00:00"/>
        <d v="2021-04-13T00:00:00"/>
        <d v="2021-04-12T00:00:00"/>
        <d v="2021-04-09T00:00:00"/>
        <d v="2021-04-08T00:00:00"/>
        <d v="2021-04-07T00:00:00"/>
        <d v="2021-04-06T00:00:00"/>
        <d v="2021-04-05T00:00:00"/>
        <d v="2021-04-01T00:00:00"/>
        <d v="2021-03-31T00:00:00"/>
        <d v="2021-03-30T00:00:00"/>
        <d v="2021-03-29T00:00:00"/>
        <d v="2021-03-26T00:00:00"/>
        <d v="2021-03-25T00:00:00"/>
        <d v="2021-03-24T00:00:00"/>
        <d v="2021-03-23T00:00:00"/>
        <d v="2021-03-22T00:00:00"/>
        <d v="2021-03-19T00:00:00"/>
        <d v="2021-03-18T00:00:00"/>
        <d v="2021-03-17T00:00:00"/>
        <d v="2021-03-16T00:00:00"/>
        <d v="2021-03-15T00:00:00"/>
        <d v="2021-03-12T00:00:00"/>
        <d v="2021-03-11T00:00:00"/>
        <d v="2021-03-10T00:00:00"/>
        <d v="2021-03-09T00:00:00"/>
        <d v="2021-03-08T00:00:00"/>
        <d v="2021-03-05T00:00:00"/>
        <d v="2021-03-04T00:00:00"/>
        <d v="2021-03-03T00:00:00"/>
        <d v="2021-03-02T00:00:00"/>
        <d v="2021-03-01T00:00:00"/>
        <d v="2021-02-26T00:00:00"/>
        <d v="2021-02-25T00:00:00"/>
        <d v="2021-02-24T00:00:00"/>
        <d v="2021-02-23T00:00:00"/>
        <d v="2021-02-22T00:00:00"/>
        <d v="2021-02-19T00:00:00"/>
        <d v="2021-02-18T00:00:00"/>
        <d v="2021-02-17T00:00:00"/>
        <d v="2021-02-16T00:00:00"/>
        <d v="2021-02-12T00:00:00"/>
        <d v="2021-02-11T00:00:00"/>
        <d v="2021-02-10T00:00:00"/>
        <d v="2021-02-09T00:00:00"/>
        <d v="2021-02-08T00:00:00"/>
        <d v="2021-02-05T00:00:00"/>
        <d v="2021-02-04T00:00:00"/>
        <d v="2021-02-03T00:00:00"/>
        <d v="2021-02-02T00:00:00"/>
        <d v="2021-02-01T00:00:00"/>
        <d v="2021-01-29T00:00:00"/>
        <d v="2021-01-28T00:00:00"/>
        <d v="2021-01-27T00:00:00"/>
        <d v="2021-01-26T00:00:00"/>
        <d v="2021-01-25T00:00:00"/>
        <d v="2021-01-22T00:00:00"/>
        <d v="2021-01-21T00:00:00"/>
        <d v="2021-01-20T00:00:00"/>
        <d v="2021-01-19T00:00:00"/>
        <d v="2021-01-15T00:00:00"/>
        <d v="2021-01-14T00:00:00"/>
        <d v="2021-01-13T00:00:00"/>
        <d v="2021-01-12T00:00:00"/>
        <d v="2021-01-11T00:00:00"/>
        <d v="2021-01-08T00:00:00"/>
        <d v="2021-01-07T00:00:00"/>
        <d v="2021-01-06T00:00:00"/>
        <d v="2021-01-05T00:00:00"/>
        <d v="2021-01-04T00:00:00"/>
        <d v="2021-12-26T00:00:00"/>
        <d v="2021-12-25T00:00:00"/>
        <d v="2021-12-24T00:00:00"/>
        <d v="2021-12-19T00:00:00"/>
        <d v="2021-12-18T00:00:00"/>
        <d v="2021-12-12T00:00:00"/>
        <d v="2021-12-11T00:00:00"/>
        <d v="2021-12-05T00:00:00"/>
        <d v="2021-12-04T00:00:00"/>
        <d v="2021-11-28T00:00:00"/>
        <d v="2021-11-27T00:00:00"/>
        <d v="2021-11-25T00:00:00"/>
        <d v="2021-11-21T00:00:00"/>
        <d v="2021-11-20T00:00:00"/>
        <d v="2021-11-14T00:00:00"/>
        <d v="2021-11-13T00:00:00"/>
        <d v="2021-11-07T00:00:00"/>
        <d v="2021-11-06T00:00:00"/>
        <d v="2021-10-31T00:00:00"/>
        <d v="2021-10-30T00:00:00"/>
        <d v="2021-10-24T00:00:00"/>
        <d v="2021-10-23T00:00:00"/>
        <d v="2021-10-17T00:00:00"/>
        <d v="2021-10-16T00:00:00"/>
        <d v="2021-10-10T00:00:00"/>
        <d v="2021-10-09T00:00:00"/>
        <d v="2021-10-03T00:00:00"/>
        <d v="2021-10-02T00:00:00"/>
        <d v="2021-09-26T00:00:00"/>
        <d v="2021-09-25T00:00:00"/>
        <d v="2021-09-19T00:00:00"/>
        <d v="2021-09-18T00:00:00"/>
        <d v="2021-09-12T00:00:00"/>
        <d v="2021-09-11T00:00:00"/>
        <d v="2021-09-06T00:00:00"/>
        <d v="2021-09-05T00:00:00"/>
        <d v="2021-09-04T00:00:00"/>
        <d v="2021-08-29T00:00:00"/>
        <d v="2021-08-28T00:00:00"/>
        <d v="2021-08-22T00:00:00"/>
        <d v="2021-08-21T00:00:00"/>
        <d v="2021-08-15T00:00:00"/>
        <d v="2021-08-14T00:00:00"/>
        <d v="2021-08-08T00:00:00"/>
        <d v="2021-08-07T00:00:00"/>
        <d v="2021-08-01T00:00:00"/>
        <d v="2021-07-31T00:00:00"/>
        <d v="2021-07-25T00:00:00"/>
        <d v="2021-07-24T00:00:00"/>
        <d v="2021-07-18T00:00:00"/>
        <d v="2021-07-17T00:00:00"/>
        <d v="2021-07-11T00:00:00"/>
        <d v="2021-07-10T00:00:00"/>
        <d v="2021-07-05T00:00:00"/>
        <d v="2021-07-04T00:00:00"/>
        <d v="2021-07-03T00:00:00"/>
        <d v="2021-06-27T00:00:00"/>
        <d v="2021-06-26T00:00:00"/>
        <d v="2021-06-20T00:00:00"/>
        <d v="2021-06-19T00:00:00"/>
        <d v="2021-06-13T00:00:00"/>
        <d v="2021-06-12T00:00:00"/>
        <d v="2021-06-06T00:00:00"/>
        <d v="2021-06-05T00:00:00"/>
        <d v="2021-05-31T00:00:00"/>
        <d v="2021-05-30T00:00:00"/>
        <d v="2021-05-29T00:00:00"/>
        <d v="2021-05-23T00:00:00"/>
        <d v="2021-05-22T00:00:00"/>
        <d v="2021-05-16T00:00:00"/>
        <d v="2021-05-15T00:00:00"/>
        <d v="2021-05-09T00:00:00"/>
        <d v="2021-05-08T00:00:00"/>
        <d v="2021-05-02T00:00:00"/>
        <d v="2021-05-01T00:00:00"/>
        <d v="2021-04-25T00:00:00"/>
        <d v="2021-04-24T00:00:00"/>
        <d v="2021-04-18T00:00:00"/>
        <d v="2021-04-17T00:00:00"/>
        <d v="2021-04-11T00:00:00"/>
        <d v="2021-04-10T00:00:00"/>
        <d v="2021-04-04T00:00:00"/>
        <d v="2021-04-03T00:00:00"/>
        <d v="2021-04-02T00:00:00"/>
        <d v="2021-03-28T00:00:00"/>
        <d v="2021-03-27T00:00:00"/>
        <d v="2021-03-21T00:00:00"/>
        <d v="2021-03-20T00:00:00"/>
        <d v="2021-03-14T00:00:00"/>
        <d v="2021-03-13T00:00:00"/>
        <d v="2021-03-07T00:00:00"/>
        <d v="2021-03-06T00:00:00"/>
        <d v="2021-02-28T00:00:00"/>
        <d v="2021-02-27T00:00:00"/>
        <d v="2021-02-21T00:00:00"/>
        <d v="2021-02-20T00:00:00"/>
        <d v="2021-02-15T00:00:00"/>
        <d v="2021-02-14T00:00:00"/>
        <d v="2021-02-13T00:00:00"/>
        <d v="2021-02-07T00:00:00"/>
        <d v="2021-02-06T00:00:00"/>
        <d v="2021-01-31T00:00:00"/>
        <d v="2021-01-30T00:00:00"/>
        <d v="2021-01-24T00:00:00"/>
        <d v="2021-01-23T00:00:00"/>
        <d v="2021-01-18T00:00:00"/>
        <d v="2021-01-17T00:00:00"/>
        <d v="2021-01-16T00:00:00"/>
        <d v="2021-01-10T00:00:00"/>
        <d v="2021-01-09T00:00:00"/>
      </sharedItems>
      <fieldGroup par="10"/>
    </cacheField>
    <cacheField name="Month" numFmtId="0">
      <sharedItems count="23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  <s v="Dec"/>
        <s v="Nov"/>
        <s v="Oct"/>
        <s v="Sep"/>
        <s v="Aug"/>
        <s v="Jul"/>
        <s v="Jun"/>
        <s v="Apr"/>
        <s v="Mar"/>
        <s v="Feb"/>
        <s v="Jan"/>
      </sharedItems>
    </cacheField>
    <cacheField name="Symbol" numFmtId="0">
      <sharedItems count="2">
        <s v="SP500"/>
        <s v="BTCUSD"/>
      </sharedItems>
    </cacheField>
    <cacheField name="Open" numFmtId="0">
      <sharedItems containsSemiMixedTypes="0" containsString="0" containsNumber="1" minValue="3698.02" maxValue="68525.75"/>
    </cacheField>
    <cacheField name="High" numFmtId="0">
      <sharedItems containsString="0" containsBlank="1" containsNumber="1" minValue="3737.83" maxValue="300000"/>
    </cacheField>
    <cacheField name="Low" numFmtId="0">
      <sharedItems containsSemiMixedTypes="0" containsString="0" containsNumber="1" minValue="3662.71" maxValue="66262.48"/>
    </cacheField>
    <cacheField name="Close" numFmtId="0">
      <sharedItems containsSemiMixedTypes="0" containsString="0" containsNumber="1" minValue="3700.65" maxValue="68525.75"/>
    </cacheField>
    <cacheField name="Volume" numFmtId="0">
      <sharedItems containsSemiMixedTypes="0" containsString="0" containsNumber="1" minValue="288.3" maxValue="9878040000"/>
    </cacheField>
    <cacheField name="Trimmed Monht" numFmtId="0">
      <sharedItems/>
    </cacheField>
    <cacheField name="Trimmed Symbol" numFmtId="0">
      <sharedItems/>
    </cacheField>
    <cacheField name="Months (Date)" numFmtId="0" databaseField="0">
      <fieldGroup base="0">
        <rangePr groupBy="months" startDate="2021-01-04T00:00:00" endDate="2022-01-01T00:00:00"/>
        <groupItems count="14">
          <s v="&lt;1/4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x v="0"/>
    <x v="0"/>
    <x v="0"/>
    <n v="4775.21"/>
    <n v="4786.83"/>
    <n v="4765.75"/>
    <n v="4766.18"/>
    <n v="2446190000"/>
    <s v="December"/>
    <s v="SP500"/>
  </r>
  <r>
    <x v="1"/>
    <x v="0"/>
    <x v="0"/>
    <n v="4794.2299999999996"/>
    <n v="4808.93"/>
    <n v="4775.33"/>
    <n v="4778.7299999999996"/>
    <n v="2390990000"/>
    <s v="December"/>
    <s v="SP500"/>
  </r>
  <r>
    <x v="2"/>
    <x v="0"/>
    <x v="0"/>
    <n v="4788.6400000000003"/>
    <n v="4804.0600000000004"/>
    <n v="4778.08"/>
    <n v="4793.0600000000004"/>
    <n v="2369370000"/>
    <s v="December"/>
    <s v="SP500"/>
  </r>
  <r>
    <x v="3"/>
    <x v="0"/>
    <x v="0"/>
    <n v="4795.49"/>
    <n v="4807.0200000000004"/>
    <n v="4780.04"/>
    <n v="4786.3500000000004"/>
    <n v="2217050000"/>
    <s v="December"/>
    <s v="SP500"/>
  </r>
  <r>
    <x v="4"/>
    <x v="0"/>
    <x v="0"/>
    <n v="4733.99"/>
    <n v="4791.49"/>
    <n v="4733.99"/>
    <n v="4791.1899999999996"/>
    <n v="2264120000"/>
    <s v="December"/>
    <s v="SP500"/>
  </r>
  <r>
    <x v="5"/>
    <x v="0"/>
    <x v="0"/>
    <n v="4703.96"/>
    <n v="4740.74"/>
    <n v="4703.96"/>
    <n v="4725.79"/>
    <n v="2194630000"/>
    <s v="December"/>
    <s v="SP500"/>
  </r>
  <r>
    <x v="6"/>
    <x v="0"/>
    <x v="0"/>
    <n v="4650.3599999999997"/>
    <n v="4697.67"/>
    <n v="4645.53"/>
    <n v="4696.5600000000004"/>
    <n v="2439570000"/>
    <s v="December"/>
    <s v="SP500"/>
  </r>
  <r>
    <x v="7"/>
    <x v="0"/>
    <x v="0"/>
    <n v="4594.96"/>
    <n v="4651.1400000000003"/>
    <n v="4583.16"/>
    <n v="4649.2299999999996"/>
    <n v="2564370000"/>
    <s v="December"/>
    <s v="SP500"/>
  </r>
  <r>
    <x v="8"/>
    <x v="0"/>
    <x v="0"/>
    <n v="4587.8999999999996"/>
    <n v="4587.8999999999996"/>
    <n v="4531.1000000000004"/>
    <n v="4568.0200000000004"/>
    <n v="3395780000"/>
    <s v="December"/>
    <s v="SP500"/>
  </r>
  <r>
    <x v="9"/>
    <x v="0"/>
    <x v="0"/>
    <n v="4652.5"/>
    <n v="4666.7"/>
    <n v="4600.22"/>
    <n v="4620.6400000000003"/>
    <n v="5609780000"/>
    <s v="December"/>
    <s v="SP500"/>
  </r>
  <r>
    <x v="10"/>
    <x v="0"/>
    <x v="0"/>
    <n v="4719.13"/>
    <n v="4731.99"/>
    <n v="4651.8900000000003"/>
    <n v="4668.67"/>
    <n v="3592810000"/>
    <s v="December"/>
    <s v="SP500"/>
  </r>
  <r>
    <x v="11"/>
    <x v="0"/>
    <x v="0"/>
    <n v="4636.46"/>
    <n v="4712.6000000000004"/>
    <n v="4611.22"/>
    <n v="4709.8500000000004"/>
    <n v="3367580000"/>
    <s v="December"/>
    <s v="SP500"/>
  </r>
  <r>
    <x v="12"/>
    <x v="0"/>
    <x v="0"/>
    <n v="4642.99"/>
    <n v="4660.47"/>
    <n v="4606.5200000000004"/>
    <n v="4634.09"/>
    <n v="3292740000"/>
    <s v="December"/>
    <s v="SP500"/>
  </r>
  <r>
    <x v="13"/>
    <x v="0"/>
    <x v="0"/>
    <n v="4710.3"/>
    <n v="4710.3"/>
    <n v="4667.6000000000004"/>
    <n v="4668.97"/>
    <n v="3322050000"/>
    <s v="December"/>
    <s v="SP500"/>
  </r>
  <r>
    <x v="14"/>
    <x v="0"/>
    <x v="0"/>
    <n v="4687.6400000000003"/>
    <n v="4713.57"/>
    <n v="4670.24"/>
    <n v="4712.0200000000004"/>
    <n v="2858310000"/>
    <s v="December"/>
    <s v="SP500"/>
  </r>
  <r>
    <x v="15"/>
    <x v="0"/>
    <x v="0"/>
    <n v="4691"/>
    <n v="4695.26"/>
    <n v="4665.9799999999996"/>
    <n v="4667.45"/>
    <n v="2851660000"/>
    <s v="December"/>
    <s v="SP500"/>
  </r>
  <r>
    <x v="16"/>
    <x v="0"/>
    <x v="0"/>
    <n v="4690.8599999999997"/>
    <n v="4705.0600000000004"/>
    <n v="4674.5200000000004"/>
    <n v="4701.21"/>
    <n v="3061550000"/>
    <s v="December"/>
    <s v="SP500"/>
  </r>
  <r>
    <x v="17"/>
    <x v="0"/>
    <x v="0"/>
    <n v="4631.97"/>
    <n v="4694.04"/>
    <n v="4631.97"/>
    <n v="4686.75"/>
    <n v="3334320000"/>
    <s v="December"/>
    <s v="SP500"/>
  </r>
  <r>
    <x v="18"/>
    <x v="0"/>
    <x v="0"/>
    <n v="4548.37"/>
    <n v="4612.6000000000004"/>
    <n v="4540.51"/>
    <n v="4591.67"/>
    <n v="3305690000"/>
    <s v="December"/>
    <s v="SP500"/>
  </r>
  <r>
    <x v="19"/>
    <x v="0"/>
    <x v="0"/>
    <n v="4589.49"/>
    <n v="4608.03"/>
    <n v="4495.12"/>
    <n v="4538.43"/>
    <n v="3971500000"/>
    <s v="December"/>
    <s v="SP500"/>
  </r>
  <r>
    <x v="20"/>
    <x v="0"/>
    <x v="0"/>
    <n v="4504.7299999999996"/>
    <n v="4595.46"/>
    <n v="4504.7299999999996"/>
    <n v="4577.1000000000004"/>
    <n v="3771510000"/>
    <s v="December"/>
    <s v="SP500"/>
  </r>
  <r>
    <x v="21"/>
    <x v="0"/>
    <x v="0"/>
    <n v="4602.82"/>
    <n v="4652.9399999999996"/>
    <n v="4510.2700000000004"/>
    <n v="4513.04"/>
    <n v="4078260000"/>
    <s v="December"/>
    <s v="SP500"/>
  </r>
  <r>
    <x v="22"/>
    <x v="1"/>
    <x v="0"/>
    <n v="4640.25"/>
    <n v="4646.0200000000004"/>
    <n v="4560"/>
    <n v="4567"/>
    <n v="4950190000"/>
    <s v="November"/>
    <s v="SP500"/>
  </r>
  <r>
    <x v="23"/>
    <x v="1"/>
    <x v="0"/>
    <n v="4628.75"/>
    <n v="4672.95"/>
    <n v="4625.26"/>
    <n v="4655.2700000000004"/>
    <n v="3471380000"/>
    <s v="November"/>
    <s v="SP500"/>
  </r>
  <r>
    <x v="24"/>
    <x v="1"/>
    <x v="0"/>
    <n v="4664.63"/>
    <n v="4664.63"/>
    <n v="4585.43"/>
    <n v="4594.62"/>
    <n v="2676740000"/>
    <s v="November"/>
    <s v="SP500"/>
  </r>
  <r>
    <x v="25"/>
    <x v="1"/>
    <x v="0"/>
    <n v="4675.78"/>
    <n v="4702.87"/>
    <n v="4659.8900000000003"/>
    <n v="4701.46"/>
    <n v="2464040000"/>
    <s v="November"/>
    <s v="SP500"/>
  </r>
  <r>
    <x v="26"/>
    <x v="1"/>
    <x v="0"/>
    <n v="4678.4799999999996"/>
    <n v="4699.3900000000003"/>
    <n v="4652.66"/>
    <n v="4690.7"/>
    <n v="3428780000"/>
    <s v="November"/>
    <s v="SP500"/>
  </r>
  <r>
    <x v="27"/>
    <x v="1"/>
    <x v="0"/>
    <n v="4712"/>
    <n v="4743.83"/>
    <n v="4682.17"/>
    <n v="4682.9399999999996"/>
    <n v="3206280000"/>
    <s v="November"/>
    <s v="SP500"/>
  </r>
  <r>
    <x v="28"/>
    <x v="1"/>
    <x v="0"/>
    <n v="4708.4399999999996"/>
    <n v="4717.75"/>
    <n v="4694.22"/>
    <n v="4697.96"/>
    <n v="3265600000"/>
    <s v="November"/>
    <s v="SP500"/>
  </r>
  <r>
    <x v="29"/>
    <x v="1"/>
    <x v="0"/>
    <n v="4700.72"/>
    <n v="4708.8"/>
    <n v="4672.78"/>
    <n v="4704.54"/>
    <n v="3335620000"/>
    <s v="November"/>
    <s v="SP500"/>
  </r>
  <r>
    <x v="30"/>
    <x v="1"/>
    <x v="0"/>
    <n v="4701.5"/>
    <n v="4701.5"/>
    <n v="4684.41"/>
    <n v="4688.67"/>
    <n v="3221250000"/>
    <s v="November"/>
    <s v="SP500"/>
  </r>
  <r>
    <x v="31"/>
    <x v="1"/>
    <x v="0"/>
    <n v="4679.42"/>
    <n v="4714.95"/>
    <n v="4679.42"/>
    <n v="4700.8999999999996"/>
    <n v="2838210000"/>
    <s v="November"/>
    <s v="SP500"/>
  </r>
  <r>
    <x v="32"/>
    <x v="1"/>
    <x v="0"/>
    <n v="4689.3"/>
    <n v="4697.42"/>
    <n v="4672.8599999999997"/>
    <n v="4682.8"/>
    <n v="2618980000"/>
    <s v="November"/>
    <s v="SP500"/>
  </r>
  <r>
    <x v="33"/>
    <x v="1"/>
    <x v="0"/>
    <n v="4655.24"/>
    <n v="4688.47"/>
    <n v="4650.7700000000004"/>
    <n v="4682.8500000000004"/>
    <n v="2865790000"/>
    <s v="November"/>
    <s v="SP500"/>
  </r>
  <r>
    <x v="34"/>
    <x v="1"/>
    <x v="0"/>
    <n v="4659.3900000000003"/>
    <n v="4664.55"/>
    <n v="4648.3100000000004"/>
    <n v="4649.2700000000004"/>
    <n v="2623140000"/>
    <s v="November"/>
    <s v="SP500"/>
  </r>
  <r>
    <x v="35"/>
    <x v="1"/>
    <x v="0"/>
    <n v="4670.26"/>
    <n v="4684.8500000000004"/>
    <n v="4630.8599999999997"/>
    <n v="4646.71"/>
    <n v="3581630000"/>
    <s v="November"/>
    <s v="SP500"/>
  </r>
  <r>
    <x v="36"/>
    <x v="1"/>
    <x v="0"/>
    <n v="4707.25"/>
    <n v="4708.53"/>
    <n v="4670.87"/>
    <n v="4685.25"/>
    <n v="3110230000"/>
    <s v="November"/>
    <s v="SP500"/>
  </r>
  <r>
    <x v="37"/>
    <x v="1"/>
    <x v="0"/>
    <n v="4701.4799999999996"/>
    <n v="4714.92"/>
    <n v="4694.3900000000003"/>
    <n v="4701.7"/>
    <n v="3465720000"/>
    <s v="November"/>
    <s v="SP500"/>
  </r>
  <r>
    <x v="38"/>
    <x v="1"/>
    <x v="0"/>
    <n v="4699.26"/>
    <n v="4718.5"/>
    <n v="4681.32"/>
    <n v="4697.53"/>
    <n v="3491150000"/>
    <s v="November"/>
    <s v="SP500"/>
  </r>
  <r>
    <x v="39"/>
    <x v="1"/>
    <x v="0"/>
    <n v="4662.93"/>
    <n v="4683"/>
    <n v="4662.59"/>
    <n v="4680.0600000000004"/>
    <n v="3332940000"/>
    <s v="November"/>
    <s v="SP500"/>
  </r>
  <r>
    <x v="40"/>
    <x v="1"/>
    <x v="0"/>
    <n v="4630.6499999999996"/>
    <n v="4663.46"/>
    <n v="4621.1899999999996"/>
    <n v="4660.57"/>
    <n v="3339440000"/>
    <s v="November"/>
    <s v="SP500"/>
  </r>
  <r>
    <x v="41"/>
    <x v="1"/>
    <x v="0"/>
    <n v="4613.34"/>
    <n v="4635.1499999999996"/>
    <n v="4613.34"/>
    <n v="4630.6499999999996"/>
    <n v="3309690000"/>
    <s v="November"/>
    <s v="SP500"/>
  </r>
  <r>
    <x v="42"/>
    <x v="1"/>
    <x v="0"/>
    <n v="4610.62"/>
    <n v="4620.34"/>
    <n v="4595.0600000000004"/>
    <n v="4613.67"/>
    <n v="2924000000"/>
    <s v="November"/>
    <s v="SP500"/>
  </r>
  <r>
    <x v="43"/>
    <x v="2"/>
    <x v="0"/>
    <n v="4572.87"/>
    <n v="4608.08"/>
    <n v="4567.59"/>
    <n v="4605.38"/>
    <n v="3632260000"/>
    <s v="October"/>
    <s v="SP500"/>
  </r>
  <r>
    <x v="44"/>
    <x v="2"/>
    <x v="0"/>
    <n v="4562.84"/>
    <n v="4597.55"/>
    <n v="4562.84"/>
    <n v="4596.42"/>
    <n v="3197560000"/>
    <s v="October"/>
    <s v="SP500"/>
  </r>
  <r>
    <x v="45"/>
    <x v="2"/>
    <x v="0"/>
    <n v="4580.22"/>
    <n v="4584.57"/>
    <n v="4551.66"/>
    <n v="4551.68"/>
    <n v="3259510000"/>
    <s v="October"/>
    <s v="SP500"/>
  </r>
  <r>
    <x v="46"/>
    <x v="2"/>
    <x v="0"/>
    <n v="4578.6899999999996"/>
    <n v="4598.53"/>
    <n v="4569.17"/>
    <n v="4574.79"/>
    <n v="2866500000"/>
    <s v="October"/>
    <s v="SP500"/>
  </r>
  <r>
    <x v="47"/>
    <x v="2"/>
    <x v="0"/>
    <n v="4553.6899999999996"/>
    <n v="4572.62"/>
    <n v="4537.3599999999997"/>
    <n v="4566.4799999999996"/>
    <n v="3250210000"/>
    <s v="October"/>
    <s v="SP500"/>
  </r>
  <r>
    <x v="48"/>
    <x v="2"/>
    <x v="0"/>
    <n v="4546.12"/>
    <n v="4559.67"/>
    <n v="4524"/>
    <n v="4544.8999999999996"/>
    <n v="3062810000"/>
    <s v="October"/>
    <s v="SP500"/>
  </r>
  <r>
    <x v="49"/>
    <x v="2"/>
    <x v="0"/>
    <n v="4532.24"/>
    <n v="4551.4399999999996"/>
    <n v="4526.8900000000003"/>
    <n v="4549.78"/>
    <n v="3016950000"/>
    <s v="October"/>
    <s v="SP500"/>
  </r>
  <r>
    <x v="50"/>
    <x v="2"/>
    <x v="0"/>
    <n v="4524.42"/>
    <n v="4540.87"/>
    <n v="4524.3999999999996"/>
    <n v="4536.1899999999996"/>
    <n v="2671560000"/>
    <s v="October"/>
    <s v="SP500"/>
  </r>
  <r>
    <x v="51"/>
    <x v="2"/>
    <x v="0"/>
    <n v="4497.34"/>
    <n v="4520.3999999999996"/>
    <n v="4496.41"/>
    <n v="4519.63"/>
    <n v="2531210000"/>
    <s v="October"/>
    <s v="SP500"/>
  </r>
  <r>
    <x v="52"/>
    <x v="2"/>
    <x v="0"/>
    <n v="4463.72"/>
    <n v="4488.75"/>
    <n v="4447.47"/>
    <n v="4486.46"/>
    <n v="2683540000"/>
    <s v="October"/>
    <s v="SP500"/>
  </r>
  <r>
    <x v="53"/>
    <x v="2"/>
    <x v="0"/>
    <n v="4447.6899999999996"/>
    <n v="4475.82"/>
    <n v="4447.6899999999996"/>
    <n v="4471.37"/>
    <n v="3000560000"/>
    <s v="October"/>
    <s v="SP500"/>
  </r>
  <r>
    <x v="54"/>
    <x v="2"/>
    <x v="0"/>
    <n v="4386.75"/>
    <n v="4439.7299999999996"/>
    <n v="4386.75"/>
    <n v="4438.26"/>
    <n v="2642920000"/>
    <s v="October"/>
    <s v="SP500"/>
  </r>
  <r>
    <x v="55"/>
    <x v="2"/>
    <x v="0"/>
    <n v="4358.01"/>
    <n v="4372.87"/>
    <n v="4329.92"/>
    <n v="4363.8"/>
    <n v="2926460000"/>
    <s v="October"/>
    <s v="SP500"/>
  </r>
  <r>
    <x v="56"/>
    <x v="2"/>
    <x v="0"/>
    <n v="4368.3100000000004"/>
    <n v="4374.8900000000003"/>
    <n v="4342.09"/>
    <n v="4350.6499999999996"/>
    <n v="2608150000"/>
    <s v="October"/>
    <s v="SP500"/>
  </r>
  <r>
    <x v="57"/>
    <x v="2"/>
    <x v="0"/>
    <n v="4385.4399999999996"/>
    <n v="4415.88"/>
    <n v="4360.59"/>
    <n v="4361.1899999999996"/>
    <n v="2580000000"/>
    <s v="October"/>
    <s v="SP500"/>
  </r>
  <r>
    <x v="58"/>
    <x v="2"/>
    <x v="0"/>
    <n v="4406.51"/>
    <n v="4412.0200000000004"/>
    <n v="4386.22"/>
    <n v="4391.34"/>
    <n v="2401890000"/>
    <s v="October"/>
    <s v="SP500"/>
  </r>
  <r>
    <x v="59"/>
    <x v="2"/>
    <x v="0"/>
    <n v="4383.7299999999996"/>
    <n v="4429.97"/>
    <n v="4383.7299999999996"/>
    <n v="4399.76"/>
    <n v="3096080000"/>
    <s v="October"/>
    <s v="SP500"/>
  </r>
  <r>
    <x v="60"/>
    <x v="2"/>
    <x v="0"/>
    <n v="4319.57"/>
    <n v="4365.57"/>
    <n v="4290.49"/>
    <n v="4363.55"/>
    <n v="3219590000"/>
    <s v="October"/>
    <s v="SP500"/>
  </r>
  <r>
    <x v="61"/>
    <x v="2"/>
    <x v="0"/>
    <n v="4309.87"/>
    <n v="4369.2299999999996"/>
    <n v="4309.87"/>
    <n v="4345.72"/>
    <n v="2967400000"/>
    <s v="October"/>
    <s v="SP500"/>
  </r>
  <r>
    <x v="62"/>
    <x v="2"/>
    <x v="0"/>
    <n v="4348.84"/>
    <n v="4355.51"/>
    <n v="4278.9399999999996"/>
    <n v="4300.46"/>
    <n v="3110560000"/>
    <s v="October"/>
    <s v="SP500"/>
  </r>
  <r>
    <x v="63"/>
    <x v="2"/>
    <x v="0"/>
    <n v="4317.16"/>
    <n v="4375.1899999999996"/>
    <n v="4288.5200000000004"/>
    <n v="4357.04"/>
    <n v="3148980000"/>
    <s v="October"/>
    <s v="SP500"/>
  </r>
  <r>
    <x v="64"/>
    <x v="3"/>
    <x v="0"/>
    <n v="4370.67"/>
    <n v="4382.55"/>
    <n v="4306.24"/>
    <n v="4307.54"/>
    <n v="3123770000"/>
    <s v="September"/>
    <s v="SP500"/>
  </r>
  <r>
    <x v="65"/>
    <x v="3"/>
    <x v="0"/>
    <n v="4362.41"/>
    <n v="4385.57"/>
    <n v="4355.08"/>
    <n v="4359.46"/>
    <n v="2753800000"/>
    <s v="September"/>
    <s v="SP500"/>
  </r>
  <r>
    <x v="66"/>
    <x v="3"/>
    <x v="0"/>
    <n v="4419.54"/>
    <n v="4419.54"/>
    <n v="4346.33"/>
    <n v="4352.63"/>
    <n v="3495970000"/>
    <s v="September"/>
    <s v="SP500"/>
  </r>
  <r>
    <x v="67"/>
    <x v="3"/>
    <x v="0"/>
    <n v="4442.12"/>
    <n v="4457.3"/>
    <n v="4436.1899999999996"/>
    <n v="4443.1099999999997"/>
    <n v="3032870000"/>
    <s v="September"/>
    <s v="SP500"/>
  </r>
  <r>
    <x v="68"/>
    <x v="3"/>
    <x v="0"/>
    <n v="4438.04"/>
    <n v="4463.12"/>
    <n v="4430.2700000000004"/>
    <n v="4455.4799999999996"/>
    <n v="2772090000"/>
    <s v="September"/>
    <s v="SP500"/>
  </r>
  <r>
    <x v="69"/>
    <x v="3"/>
    <x v="0"/>
    <n v="4406.75"/>
    <n v="4465.3999999999996"/>
    <n v="4406.75"/>
    <n v="4448.9799999999996"/>
    <n v="2833290000"/>
    <s v="September"/>
    <s v="SP500"/>
  </r>
  <r>
    <x v="70"/>
    <x v="3"/>
    <x v="0"/>
    <n v="4367.43"/>
    <n v="4416.75"/>
    <n v="4367.43"/>
    <n v="4395.6400000000003"/>
    <n v="3273670000"/>
    <s v="September"/>
    <s v="SP500"/>
  </r>
  <r>
    <x v="71"/>
    <x v="3"/>
    <x v="0"/>
    <n v="4374.45"/>
    <n v="4394.87"/>
    <n v="4347.96"/>
    <n v="4354.1899999999996"/>
    <n v="3044300000"/>
    <s v="September"/>
    <s v="SP500"/>
  </r>
  <r>
    <x v="72"/>
    <x v="3"/>
    <x v="0"/>
    <n v="4402.95"/>
    <n v="4402.95"/>
    <n v="4305.91"/>
    <n v="4357.7299999999996"/>
    <n v="3773680000"/>
    <s v="September"/>
    <s v="SP500"/>
  </r>
  <r>
    <x v="73"/>
    <x v="3"/>
    <x v="0"/>
    <n v="4469.74"/>
    <n v="4471.5200000000004"/>
    <n v="4427.76"/>
    <n v="4432.99"/>
    <n v="5622210000"/>
    <s v="September"/>
    <s v="SP500"/>
  </r>
  <r>
    <x v="74"/>
    <x v="3"/>
    <x v="0"/>
    <n v="4477.09"/>
    <n v="4485.87"/>
    <n v="4443.8"/>
    <n v="4473.75"/>
    <n v="3321030000"/>
    <s v="September"/>
    <s v="SP500"/>
  </r>
  <r>
    <x v="75"/>
    <x v="3"/>
    <x v="0"/>
    <n v="4447.49"/>
    <n v="4486.87"/>
    <n v="4438.37"/>
    <n v="4480.7"/>
    <n v="3154760000"/>
    <s v="September"/>
    <s v="SP500"/>
  </r>
  <r>
    <x v="76"/>
    <x v="3"/>
    <x v="0"/>
    <n v="4479.33"/>
    <n v="4485.68"/>
    <n v="4435.46"/>
    <n v="4443.05"/>
    <n v="2568730000"/>
    <s v="September"/>
    <s v="SP500"/>
  </r>
  <r>
    <x v="77"/>
    <x v="3"/>
    <x v="0"/>
    <n v="4474.8100000000004"/>
    <n v="4492.99"/>
    <n v="4445.7"/>
    <n v="4468.7299999999996"/>
    <n v="3096390000"/>
    <s v="September"/>
    <s v="SP500"/>
  </r>
  <r>
    <x v="78"/>
    <x v="3"/>
    <x v="0"/>
    <n v="4506.92"/>
    <n v="4520.47"/>
    <n v="4457.66"/>
    <n v="4458.58"/>
    <n v="2851140000"/>
    <s v="September"/>
    <s v="SP500"/>
  </r>
  <r>
    <x v="79"/>
    <x v="3"/>
    <x v="0"/>
    <n v="4513.0200000000004"/>
    <n v="4529.8999999999996"/>
    <n v="4492.07"/>
    <n v="4493.28"/>
    <n v="3035300000"/>
    <s v="September"/>
    <s v="SP500"/>
  </r>
  <r>
    <x v="80"/>
    <x v="3"/>
    <x v="0"/>
    <n v="4518.09"/>
    <n v="4521.79"/>
    <n v="4493.95"/>
    <n v="4514.07"/>
    <n v="2808480000"/>
    <s v="September"/>
    <s v="SP500"/>
  </r>
  <r>
    <x v="81"/>
    <x v="3"/>
    <x v="0"/>
    <n v="4535.38"/>
    <n v="4535.38"/>
    <n v="4513"/>
    <n v="4520.03"/>
    <n v="3098870000"/>
    <s v="September"/>
    <s v="SP500"/>
  </r>
  <r>
    <x v="82"/>
    <x v="3"/>
    <x v="0"/>
    <n v="4532.42"/>
    <n v="4541.45"/>
    <n v="4521.3"/>
    <n v="4535.43"/>
    <n v="2609660000"/>
    <s v="September"/>
    <s v="SP500"/>
  </r>
  <r>
    <x v="83"/>
    <x v="3"/>
    <x v="0"/>
    <n v="4534.4799999999996"/>
    <n v="4545.8500000000004"/>
    <n v="4524.66"/>
    <n v="4536.95"/>
    <n v="2897010000"/>
    <s v="September"/>
    <s v="SP500"/>
  </r>
  <r>
    <x v="84"/>
    <x v="3"/>
    <x v="0"/>
    <n v="4528.8"/>
    <n v="4537.1099999999997"/>
    <n v="4522.0200000000004"/>
    <n v="4524.09"/>
    <n v="3101830000"/>
    <s v="September"/>
    <s v="SP500"/>
  </r>
  <r>
    <x v="85"/>
    <x v="4"/>
    <x v="0"/>
    <n v="4529.75"/>
    <n v="4531.3900000000003"/>
    <n v="4515.8"/>
    <n v="4522.68"/>
    <n v="3090380000"/>
    <s v="August"/>
    <s v="SP500"/>
  </r>
  <r>
    <x v="86"/>
    <x v="4"/>
    <x v="0"/>
    <n v="4513.76"/>
    <n v="4537.3599999999997"/>
    <n v="4513.76"/>
    <n v="4528.79"/>
    <n v="2557300000"/>
    <s v="August"/>
    <s v="SP500"/>
  </r>
  <r>
    <x v="87"/>
    <x v="4"/>
    <x v="0"/>
    <n v="4474.1000000000004"/>
    <n v="4513.33"/>
    <n v="4474.1000000000004"/>
    <n v="4509.37"/>
    <n v="2862360000"/>
    <s v="August"/>
    <s v="SP500"/>
  </r>
  <r>
    <x v="88"/>
    <x v="4"/>
    <x v="0"/>
    <n v="4493.75"/>
    <n v="4495.8999999999996"/>
    <n v="4468.99"/>
    <n v="4470"/>
    <n v="2704600000"/>
    <s v="August"/>
    <s v="SP500"/>
  </r>
  <r>
    <x v="89"/>
    <x v="4"/>
    <x v="0"/>
    <n v="4490.45"/>
    <n v="4501.71"/>
    <n v="4485.66"/>
    <n v="4496.1899999999996"/>
    <n v="2554680000"/>
    <s v="August"/>
    <s v="SP500"/>
  </r>
  <r>
    <x v="90"/>
    <x v="4"/>
    <x v="0"/>
    <n v="4484.3999999999996"/>
    <n v="4492.8100000000004"/>
    <n v="4482.28"/>
    <n v="4486.2299999999996"/>
    <n v="3037770000"/>
    <s v="August"/>
    <s v="SP500"/>
  </r>
  <r>
    <x v="91"/>
    <x v="4"/>
    <x v="0"/>
    <n v="4450.29"/>
    <n v="4489.88"/>
    <n v="4450.29"/>
    <n v="4479.53"/>
    <n v="2965520000"/>
    <s v="August"/>
    <s v="SP500"/>
  </r>
  <r>
    <x v="92"/>
    <x v="4"/>
    <x v="0"/>
    <n v="4410.5600000000004"/>
    <n v="4444.3500000000004"/>
    <n v="4406.8"/>
    <n v="4441.67"/>
    <n v="2867770000"/>
    <s v="August"/>
    <s v="SP500"/>
  </r>
  <r>
    <x v="93"/>
    <x v="4"/>
    <x v="0"/>
    <n v="4382.4399999999996"/>
    <n v="4418.6099999999997"/>
    <n v="4367.7299999999996"/>
    <n v="4405.8"/>
    <n v="3120840000"/>
    <s v="August"/>
    <s v="SP500"/>
  </r>
  <r>
    <x v="94"/>
    <x v="4"/>
    <x v="0"/>
    <n v="4440.9399999999996"/>
    <n v="4454.32"/>
    <n v="4397.59"/>
    <n v="4400.2700000000004"/>
    <n v="2965210000"/>
    <s v="August"/>
    <s v="SP500"/>
  </r>
  <r>
    <x v="95"/>
    <x v="4"/>
    <x v="0"/>
    <n v="4462.12"/>
    <n v="4462.12"/>
    <n v="4417.83"/>
    <n v="4448.08"/>
    <n v="2884000000"/>
    <s v="August"/>
    <s v="SP500"/>
  </r>
  <r>
    <x v="96"/>
    <x v="4"/>
    <x v="0"/>
    <n v="4461.6499999999996"/>
    <n v="4480.26"/>
    <n v="4437.66"/>
    <n v="4479.71"/>
    <n v="2707170000"/>
    <s v="August"/>
    <s v="SP500"/>
  </r>
  <r>
    <x v="97"/>
    <x v="4"/>
    <x v="0"/>
    <n v="4464.84"/>
    <n v="4468.37"/>
    <n v="4460.82"/>
    <n v="4468"/>
    <n v="2371630000"/>
    <s v="August"/>
    <s v="SP500"/>
  </r>
  <r>
    <x v="98"/>
    <x v="4"/>
    <x v="0"/>
    <n v="4446.08"/>
    <n v="4461.7700000000004"/>
    <n v="4435.96"/>
    <n v="4460.83"/>
    <n v="2543860000"/>
    <s v="August"/>
    <s v="SP500"/>
  </r>
  <r>
    <x v="99"/>
    <x v="4"/>
    <x v="0"/>
    <n v="4442.18"/>
    <n v="4449.4399999999996"/>
    <n v="4436.42"/>
    <n v="4442.41"/>
    <n v="2803060000"/>
    <s v="August"/>
    <s v="SP500"/>
  </r>
  <r>
    <x v="100"/>
    <x v="4"/>
    <x v="0"/>
    <n v="4435.79"/>
    <n v="4445.21"/>
    <n v="4430.03"/>
    <n v="4436.75"/>
    <n v="3219840000"/>
    <s v="August"/>
    <s v="SP500"/>
  </r>
  <r>
    <x v="101"/>
    <x v="4"/>
    <x v="0"/>
    <n v="4437.7700000000004"/>
    <n v="4439.3900000000003"/>
    <n v="4424.74"/>
    <n v="4432.3500000000004"/>
    <n v="2779880000"/>
    <s v="August"/>
    <s v="SP500"/>
  </r>
  <r>
    <x v="102"/>
    <x v="4"/>
    <x v="0"/>
    <n v="4429.07"/>
    <n v="4440.82"/>
    <n v="4429.07"/>
    <n v="4436.5200000000004"/>
    <n v="2839970000"/>
    <s v="August"/>
    <s v="SP500"/>
  </r>
  <r>
    <x v="103"/>
    <x v="4"/>
    <x v="0"/>
    <n v="4408.8599999999997"/>
    <n v="4429.76"/>
    <n v="4408.8599999999997"/>
    <n v="4429.1000000000004"/>
    <n v="2734220000"/>
    <s v="August"/>
    <s v="SP500"/>
  </r>
  <r>
    <x v="104"/>
    <x v="4"/>
    <x v="0"/>
    <n v="4415.95"/>
    <n v="4416.17"/>
    <n v="4400.2299999999996"/>
    <n v="4402.66"/>
    <n v="3382620000"/>
    <s v="August"/>
    <s v="SP500"/>
  </r>
  <r>
    <x v="105"/>
    <x v="4"/>
    <x v="0"/>
    <n v="4392.74"/>
    <n v="4423.79"/>
    <n v="4373"/>
    <n v="4423.1499999999996"/>
    <n v="3305340000"/>
    <s v="August"/>
    <s v="SP500"/>
  </r>
  <r>
    <x v="106"/>
    <x v="4"/>
    <x v="0"/>
    <n v="4406.8599999999997"/>
    <n v="4422.18"/>
    <n v="4384.8100000000004"/>
    <n v="4387.16"/>
    <n v="2919940000"/>
    <s v="August"/>
    <s v="SP500"/>
  </r>
  <r>
    <x v="107"/>
    <x v="5"/>
    <x v="0"/>
    <n v="4395.12"/>
    <n v="4412.25"/>
    <n v="4389.6499999999996"/>
    <n v="4395.26"/>
    <n v="2861600000"/>
    <s v="July"/>
    <s v="SP500"/>
  </r>
  <r>
    <x v="108"/>
    <x v="5"/>
    <x v="0"/>
    <n v="4403.59"/>
    <n v="4429.97"/>
    <n v="4403.59"/>
    <n v="4419.1499999999996"/>
    <n v="2815510000"/>
    <s v="July"/>
    <s v="SP500"/>
  </r>
  <r>
    <x v="109"/>
    <x v="5"/>
    <x v="0"/>
    <n v="4402.95"/>
    <n v="4415.47"/>
    <n v="4387.01"/>
    <n v="4400.6400000000003"/>
    <n v="3215130000"/>
    <s v="July"/>
    <s v="SP500"/>
  </r>
  <r>
    <x v="110"/>
    <x v="5"/>
    <x v="0"/>
    <n v="4416.38"/>
    <n v="4416.38"/>
    <n v="4372.51"/>
    <n v="4401.46"/>
    <n v="3381080000"/>
    <s v="July"/>
    <s v="SP500"/>
  </r>
  <r>
    <x v="111"/>
    <x v="5"/>
    <x v="0"/>
    <n v="4409.58"/>
    <n v="4422.7299999999996"/>
    <n v="4405.45"/>
    <n v="4422.3"/>
    <n v="2679110000"/>
    <s v="July"/>
    <s v="SP500"/>
  </r>
  <r>
    <x v="112"/>
    <x v="5"/>
    <x v="0"/>
    <n v="4381.2"/>
    <n v="4415.18"/>
    <n v="4381.2"/>
    <n v="4411.79"/>
    <n v="3490730000"/>
    <s v="July"/>
    <s v="SP500"/>
  </r>
  <r>
    <x v="113"/>
    <x v="5"/>
    <x v="0"/>
    <n v="4361.2700000000004"/>
    <n v="4369.87"/>
    <n v="4350.0600000000004"/>
    <n v="4367.4799999999996"/>
    <n v="2907910000"/>
    <s v="July"/>
    <s v="SP500"/>
  </r>
  <r>
    <x v="114"/>
    <x v="5"/>
    <x v="0"/>
    <n v="4331.13"/>
    <n v="4359.7"/>
    <n v="4331.13"/>
    <n v="4358.6899999999996"/>
    <n v="3078550000"/>
    <s v="July"/>
    <s v="SP500"/>
  </r>
  <r>
    <x v="115"/>
    <x v="5"/>
    <x v="0"/>
    <n v="4265.1099999999997"/>
    <n v="4336.84"/>
    <n v="4262.05"/>
    <n v="4323.0600000000004"/>
    <n v="3634190000"/>
    <s v="July"/>
    <s v="SP500"/>
  </r>
  <r>
    <x v="116"/>
    <x v="5"/>
    <x v="0"/>
    <n v="4296.3999999999996"/>
    <n v="4296.3999999999996"/>
    <n v="4233.13"/>
    <n v="4258.49"/>
    <n v="4155790000"/>
    <s v="July"/>
    <s v="SP500"/>
  </r>
  <r>
    <x v="117"/>
    <x v="5"/>
    <x v="0"/>
    <n v="4367.43"/>
    <n v="4375.09"/>
    <n v="4322.53"/>
    <n v="4327.16"/>
    <n v="3165160000"/>
    <s v="July"/>
    <s v="SP500"/>
  </r>
  <r>
    <x v="118"/>
    <x v="5"/>
    <x v="0"/>
    <n v="4369.0200000000004"/>
    <n v="4369.0200000000004"/>
    <n v="4340.7"/>
    <n v="4360.03"/>
    <n v="3226930000"/>
    <s v="July"/>
    <s v="SP500"/>
  </r>
  <r>
    <x v="119"/>
    <x v="5"/>
    <x v="0"/>
    <n v="4380.1099999999997"/>
    <n v="4393.68"/>
    <n v="4362.3599999999997"/>
    <n v="4374.3"/>
    <n v="3213870000"/>
    <s v="July"/>
    <s v="SP500"/>
  </r>
  <r>
    <x v="120"/>
    <x v="5"/>
    <x v="0"/>
    <n v="4381.07"/>
    <n v="4392.37"/>
    <n v="4366.92"/>
    <n v="4369.21"/>
    <n v="3166900000"/>
    <s v="July"/>
    <s v="SP500"/>
  </r>
  <r>
    <x v="121"/>
    <x v="5"/>
    <x v="0"/>
    <n v="4372.41"/>
    <n v="4386.68"/>
    <n v="4364.03"/>
    <n v="4384.63"/>
    <n v="2983980000"/>
    <s v="July"/>
    <s v="SP500"/>
  </r>
  <r>
    <x v="122"/>
    <x v="5"/>
    <x v="0"/>
    <n v="4329.38"/>
    <n v="4371.6000000000004"/>
    <n v="4329.38"/>
    <n v="4369.55"/>
    <n v="2738280000"/>
    <s v="July"/>
    <s v="SP500"/>
  </r>
  <r>
    <x v="123"/>
    <x v="5"/>
    <x v="0"/>
    <n v="4321.07"/>
    <n v="4330.88"/>
    <n v="4289.37"/>
    <n v="4320.82"/>
    <n v="3393780000"/>
    <s v="July"/>
    <s v="SP500"/>
  </r>
  <r>
    <x v="124"/>
    <x v="5"/>
    <x v="0"/>
    <n v="4351.01"/>
    <n v="4361.88"/>
    <n v="4329.79"/>
    <n v="4358.13"/>
    <n v="3243900000"/>
    <s v="July"/>
    <s v="SP500"/>
  </r>
  <r>
    <x v="125"/>
    <x v="5"/>
    <x v="0"/>
    <n v="4356.46"/>
    <n v="4356.46"/>
    <n v="4314.37"/>
    <n v="4343.54"/>
    <n v="3437900000"/>
    <s v="July"/>
    <s v="SP500"/>
  </r>
  <r>
    <x v="126"/>
    <x v="5"/>
    <x v="0"/>
    <n v="4326.6000000000004"/>
    <n v="4355.43"/>
    <n v="4326.6000000000004"/>
    <n v="4352.34"/>
    <n v="2628550000"/>
    <s v="July"/>
    <s v="SP500"/>
  </r>
  <r>
    <x v="127"/>
    <x v="5"/>
    <x v="0"/>
    <n v="4300.7299999999996"/>
    <n v="4320.66"/>
    <n v="4300.7299999999996"/>
    <n v="4319.9399999999996"/>
    <n v="3077580000"/>
    <s v="July"/>
    <s v="SP500"/>
  </r>
  <r>
    <x v="128"/>
    <x v="6"/>
    <x v="0"/>
    <n v="4290.6499999999996"/>
    <n v="4302.43"/>
    <n v="4287.96"/>
    <n v="4297.5"/>
    <n v="3687880000"/>
    <s v="June"/>
    <s v="SP500"/>
  </r>
  <r>
    <x v="129"/>
    <x v="6"/>
    <x v="0"/>
    <n v="4293.21"/>
    <n v="4300.5200000000004"/>
    <n v="4287.04"/>
    <n v="4291.8"/>
    <n v="3049560000"/>
    <s v="June"/>
    <s v="SP500"/>
  </r>
  <r>
    <x v="130"/>
    <x v="6"/>
    <x v="0"/>
    <n v="4284.8999999999996"/>
    <n v="4292.1400000000003"/>
    <n v="4274.67"/>
    <n v="4290.6099999999997"/>
    <n v="3415610000"/>
    <s v="June"/>
    <s v="SP500"/>
  </r>
  <r>
    <x v="131"/>
    <x v="6"/>
    <x v="0"/>
    <n v="4274.45"/>
    <n v="4286.12"/>
    <n v="4271.16"/>
    <n v="4280.7"/>
    <n v="6248390000"/>
    <s v="June"/>
    <s v="SP500"/>
  </r>
  <r>
    <x v="132"/>
    <x v="6"/>
    <x v="0"/>
    <n v="4256.97"/>
    <n v="4271.28"/>
    <n v="4256.97"/>
    <n v="4266.49"/>
    <n v="3141680000"/>
    <s v="June"/>
    <s v="SP500"/>
  </r>
  <r>
    <x v="133"/>
    <x v="6"/>
    <x v="0"/>
    <n v="4249.2700000000004"/>
    <n v="4256.6000000000004"/>
    <n v="4241.43"/>
    <n v="4241.84"/>
    <n v="3172440000"/>
    <s v="June"/>
    <s v="SP500"/>
  </r>
  <r>
    <x v="134"/>
    <x v="6"/>
    <x v="0"/>
    <n v="4224.6099999999997"/>
    <n v="4255.84"/>
    <n v="4217.2700000000004"/>
    <n v="4246.4399999999996"/>
    <n v="3208760000"/>
    <s v="June"/>
    <s v="SP500"/>
  </r>
  <r>
    <x v="135"/>
    <x v="6"/>
    <x v="0"/>
    <n v="4173.3999999999996"/>
    <n v="4226.24"/>
    <n v="4173.3999999999996"/>
    <n v="4224.79"/>
    <n v="3391740000"/>
    <s v="June"/>
    <s v="SP500"/>
  </r>
  <r>
    <x v="136"/>
    <x v="6"/>
    <x v="0"/>
    <n v="4204.78"/>
    <n v="4204.78"/>
    <n v="4164.3999999999996"/>
    <n v="4166.45"/>
    <n v="6084980000"/>
    <s v="June"/>
    <s v="SP500"/>
  </r>
  <r>
    <x v="137"/>
    <x v="6"/>
    <x v="0"/>
    <n v="4220.37"/>
    <n v="4232.29"/>
    <n v="4196.05"/>
    <n v="4221.8599999999997"/>
    <n v="3952110000"/>
    <s v="June"/>
    <s v="SP500"/>
  </r>
  <r>
    <x v="138"/>
    <x v="6"/>
    <x v="0"/>
    <n v="4248.87"/>
    <n v="4251.8900000000003"/>
    <n v="4202.45"/>
    <n v="4223.7"/>
    <n v="3722050000"/>
    <s v="June"/>
    <s v="SP500"/>
  </r>
  <r>
    <x v="139"/>
    <x v="6"/>
    <x v="0"/>
    <n v="4255.28"/>
    <n v="4257.16"/>
    <n v="4238.3500000000004"/>
    <n v="4246.59"/>
    <n v="3578450000"/>
    <s v="June"/>
    <s v="SP500"/>
  </r>
  <r>
    <x v="140"/>
    <x v="6"/>
    <x v="0"/>
    <n v="4248.3100000000004"/>
    <n v="4255.59"/>
    <n v="4234.07"/>
    <n v="4255.1499999999996"/>
    <n v="3612050000"/>
    <s v="June"/>
    <s v="SP500"/>
  </r>
  <r>
    <x v="141"/>
    <x v="6"/>
    <x v="0"/>
    <n v="4242.8999999999996"/>
    <n v="4248.38"/>
    <n v="4232.25"/>
    <n v="4247.4399999999996"/>
    <n v="3204280000"/>
    <s v="June"/>
    <s v="SP500"/>
  </r>
  <r>
    <x v="142"/>
    <x v="6"/>
    <x v="0"/>
    <n v="4228.5600000000004"/>
    <n v="4249.74"/>
    <n v="4220.34"/>
    <n v="4239.18"/>
    <n v="3502480000"/>
    <s v="June"/>
    <s v="SP500"/>
  </r>
  <r>
    <x v="143"/>
    <x v="6"/>
    <x v="0"/>
    <n v="4232.99"/>
    <n v="4237.09"/>
    <n v="4218.74"/>
    <n v="4219.55"/>
    <n v="3902870000"/>
    <s v="June"/>
    <s v="SP500"/>
  </r>
  <r>
    <x v="144"/>
    <x v="6"/>
    <x v="0"/>
    <n v="4233.8100000000004"/>
    <n v="4236.74"/>
    <n v="4208.41"/>
    <n v="4227.26"/>
    <n v="3943870000"/>
    <s v="June"/>
    <s v="SP500"/>
  </r>
  <r>
    <x v="145"/>
    <x v="6"/>
    <x v="0"/>
    <n v="4229.34"/>
    <n v="4232.34"/>
    <n v="4215.66"/>
    <n v="4226.5200000000004"/>
    <n v="3835570000"/>
    <s v="June"/>
    <s v="SP500"/>
  </r>
  <r>
    <x v="146"/>
    <x v="6"/>
    <x v="0"/>
    <n v="4206.05"/>
    <n v="4233.45"/>
    <n v="4206.05"/>
    <n v="4229.8900000000003"/>
    <n v="3487070000"/>
    <s v="June"/>
    <s v="SP500"/>
  </r>
  <r>
    <x v="147"/>
    <x v="6"/>
    <x v="0"/>
    <n v="4191.43"/>
    <n v="4204.3900000000003"/>
    <n v="4167.93"/>
    <n v="4192.8500000000004"/>
    <n v="4579450000"/>
    <s v="June"/>
    <s v="SP500"/>
  </r>
  <r>
    <x v="148"/>
    <x v="6"/>
    <x v="0"/>
    <n v="4206.82"/>
    <n v="4217.37"/>
    <n v="4198.2700000000004"/>
    <n v="4208.12"/>
    <n v="4860930000"/>
    <s v="June"/>
    <s v="SP500"/>
  </r>
  <r>
    <x v="149"/>
    <x v="6"/>
    <x v="0"/>
    <n v="4216.5200000000004"/>
    <n v="4234.12"/>
    <n v="4197.59"/>
    <n v="4202.04"/>
    <n v="4122960000"/>
    <s v="June"/>
    <s v="SP500"/>
  </r>
  <r>
    <x v="150"/>
    <x v="7"/>
    <x v="0"/>
    <n v="4210.7700000000004"/>
    <n v="4218.3599999999997"/>
    <n v="4203.57"/>
    <n v="4204.1099999999997"/>
    <n v="4199270000"/>
    <s v="May"/>
    <s v="SP500"/>
  </r>
  <r>
    <x v="151"/>
    <x v="7"/>
    <x v="0"/>
    <n v="4201.9399999999996"/>
    <n v="4213.38"/>
    <n v="4197.78"/>
    <n v="4200.88"/>
    <n v="5201110000"/>
    <s v="May"/>
    <s v="SP500"/>
  </r>
  <r>
    <x v="152"/>
    <x v="7"/>
    <x v="0"/>
    <n v="4191.59"/>
    <n v="4202.6099999999997"/>
    <n v="4184.1099999999997"/>
    <n v="4195.99"/>
    <n v="3674490000"/>
    <s v="May"/>
    <s v="SP500"/>
  </r>
  <r>
    <x v="153"/>
    <x v="7"/>
    <x v="0"/>
    <n v="4205.9399999999996"/>
    <n v="4213.42"/>
    <n v="4182.5200000000004"/>
    <n v="4188.13"/>
    <n v="3420870000"/>
    <s v="May"/>
    <s v="SP500"/>
  </r>
  <r>
    <x v="154"/>
    <x v="7"/>
    <x v="0"/>
    <n v="4170.16"/>
    <n v="4209.5200000000004"/>
    <n v="4170.16"/>
    <n v="4197.05"/>
    <n v="2947400000"/>
    <s v="May"/>
    <s v="SP500"/>
  </r>
  <r>
    <x v="155"/>
    <x v="7"/>
    <x v="0"/>
    <n v="4168.6099999999997"/>
    <n v="4188.72"/>
    <n v="4151.72"/>
    <n v="4155.8599999999997"/>
    <n v="3344620000"/>
    <s v="May"/>
    <s v="SP500"/>
  </r>
  <r>
    <x v="156"/>
    <x v="7"/>
    <x v="0"/>
    <n v="4121.97"/>
    <n v="4172.8"/>
    <n v="4121.97"/>
    <n v="4159.12"/>
    <n v="3019060000"/>
    <s v="May"/>
    <s v="SP500"/>
  </r>
  <r>
    <x v="157"/>
    <x v="7"/>
    <x v="0"/>
    <n v="4098.45"/>
    <n v="4116.93"/>
    <n v="4061.41"/>
    <n v="4115.68"/>
    <n v="3485550000"/>
    <s v="May"/>
    <s v="SP500"/>
  </r>
  <r>
    <x v="158"/>
    <x v="7"/>
    <x v="0"/>
    <n v="4165.9399999999996"/>
    <n v="4169.1499999999996"/>
    <n v="4125.99"/>
    <n v="4127.83"/>
    <n v="3559790000"/>
    <s v="May"/>
    <s v="SP500"/>
  </r>
  <r>
    <x v="159"/>
    <x v="7"/>
    <x v="0"/>
    <n v="4169.92"/>
    <n v="4171.92"/>
    <n v="4142.6899999999996"/>
    <n v="4163.29"/>
    <n v="3307130000"/>
    <s v="May"/>
    <s v="SP500"/>
  </r>
  <r>
    <x v="160"/>
    <x v="7"/>
    <x v="0"/>
    <n v="4129.58"/>
    <n v="4183.13"/>
    <n v="4129.58"/>
    <n v="4173.8500000000004"/>
    <n v="3251920000"/>
    <s v="May"/>
    <s v="SP500"/>
  </r>
  <r>
    <x v="161"/>
    <x v="7"/>
    <x v="0"/>
    <n v="4074.99"/>
    <n v="4131.58"/>
    <n v="4074.99"/>
    <n v="4112.5"/>
    <n v="3687780000"/>
    <s v="May"/>
    <s v="SP500"/>
  </r>
  <r>
    <x v="162"/>
    <x v="7"/>
    <x v="0"/>
    <n v="4130.55"/>
    <n v="4134.7299999999996"/>
    <n v="4056.88"/>
    <n v="4063.04"/>
    <n v="3735080000"/>
    <s v="May"/>
    <s v="SP500"/>
  </r>
  <r>
    <x v="163"/>
    <x v="7"/>
    <x v="0"/>
    <n v="4150.34"/>
    <n v="4162.04"/>
    <n v="4111.53"/>
    <n v="4152.1000000000004"/>
    <n v="3593110000"/>
    <s v="May"/>
    <s v="SP500"/>
  </r>
  <r>
    <x v="164"/>
    <x v="7"/>
    <x v="0"/>
    <n v="4228.29"/>
    <n v="4236.3900000000003"/>
    <n v="4188.13"/>
    <n v="4188.43"/>
    <n v="3678970000"/>
    <s v="May"/>
    <s v="SP500"/>
  </r>
  <r>
    <x v="165"/>
    <x v="7"/>
    <x v="0"/>
    <n v="4210.34"/>
    <n v="4238.04"/>
    <n v="4201.6400000000003"/>
    <n v="4232.6000000000004"/>
    <n v="4013060000"/>
    <s v="May"/>
    <s v="SP500"/>
  </r>
  <r>
    <x v="166"/>
    <x v="7"/>
    <x v="0"/>
    <n v="4169.1400000000003"/>
    <n v="4202.7"/>
    <n v="4147.33"/>
    <n v="4201.62"/>
    <n v="4504860000"/>
    <s v="May"/>
    <s v="SP500"/>
  </r>
  <r>
    <x v="167"/>
    <x v="7"/>
    <x v="0"/>
    <n v="4177.0600000000004"/>
    <n v="4187.72"/>
    <n v="4160.9399999999996"/>
    <n v="4167.59"/>
    <n v="4029050000"/>
    <s v="May"/>
    <s v="SP500"/>
  </r>
  <r>
    <x v="168"/>
    <x v="7"/>
    <x v="0"/>
    <n v="4179.04"/>
    <n v="4179.04"/>
    <n v="4128.59"/>
    <n v="4164.66"/>
    <n v="4441080000"/>
    <s v="May"/>
    <s v="SP500"/>
  </r>
  <r>
    <x v="169"/>
    <x v="7"/>
    <x v="0"/>
    <n v="4191.9799999999996"/>
    <n v="4209.3900000000003"/>
    <n v="4188.03"/>
    <n v="4192.66"/>
    <n v="4061170000"/>
    <s v="May"/>
    <s v="SP500"/>
  </r>
  <r>
    <x v="170"/>
    <x v="8"/>
    <x v="0"/>
    <n v="4198.1000000000004"/>
    <n v="4198.1000000000004"/>
    <n v="4174.8500000000004"/>
    <n v="4181.17"/>
    <n v="4273680000"/>
    <s v="April"/>
    <s v="SP500"/>
  </r>
  <r>
    <x v="171"/>
    <x v="8"/>
    <x v="0"/>
    <n v="4206.1400000000003"/>
    <n v="4218.78"/>
    <n v="4176.8100000000004"/>
    <n v="4211.47"/>
    <n v="4288940000"/>
    <s v="April"/>
    <s v="SP500"/>
  </r>
  <r>
    <x v="172"/>
    <x v="8"/>
    <x v="0"/>
    <n v="4185.1400000000003"/>
    <n v="4201.53"/>
    <n v="4181.78"/>
    <n v="4183.18"/>
    <n v="3772390000"/>
    <s v="April"/>
    <s v="SP500"/>
  </r>
  <r>
    <x v="173"/>
    <x v="8"/>
    <x v="0"/>
    <n v="4188.25"/>
    <n v="4193.3500000000004"/>
    <n v="4176.22"/>
    <n v="4186.72"/>
    <n v="3703240000"/>
    <s v="April"/>
    <s v="SP500"/>
  </r>
  <r>
    <x v="174"/>
    <x v="8"/>
    <x v="0"/>
    <n v="4185.03"/>
    <n v="4194.1899999999996"/>
    <n v="4182.3599999999997"/>
    <n v="4187.62"/>
    <n v="3738920000"/>
    <s v="April"/>
    <s v="SP500"/>
  </r>
  <r>
    <x v="175"/>
    <x v="8"/>
    <x v="0"/>
    <n v="4138.78"/>
    <n v="4194.17"/>
    <n v="4138.78"/>
    <n v="4180.17"/>
    <n v="3568080000"/>
    <s v="April"/>
    <s v="SP500"/>
  </r>
  <r>
    <x v="176"/>
    <x v="8"/>
    <x v="0"/>
    <n v="4170.46"/>
    <n v="4179.57"/>
    <n v="4123.6899999999996"/>
    <n v="4134.9799999999996"/>
    <n v="4235040000"/>
    <s v="April"/>
    <s v="SP500"/>
  </r>
  <r>
    <x v="177"/>
    <x v="8"/>
    <x v="0"/>
    <n v="4128.42"/>
    <n v="4175.0200000000004"/>
    <n v="4126.3500000000004"/>
    <n v="4173.42"/>
    <n v="3865820000"/>
    <s v="April"/>
    <s v="SP500"/>
  </r>
  <r>
    <x v="178"/>
    <x v="8"/>
    <x v="0"/>
    <n v="4159.18"/>
    <n v="4159.18"/>
    <n v="4118.38"/>
    <n v="4134.9399999999996"/>
    <n v="4338230000"/>
    <s v="April"/>
    <s v="SP500"/>
  </r>
  <r>
    <x v="179"/>
    <x v="8"/>
    <x v="0"/>
    <n v="4179.8"/>
    <n v="4180.8100000000004"/>
    <n v="4150.47"/>
    <n v="4163.26"/>
    <n v="3788020000"/>
    <s v="April"/>
    <s v="SP500"/>
  </r>
  <r>
    <x v="180"/>
    <x v="8"/>
    <x v="0"/>
    <n v="4174.1400000000003"/>
    <n v="4191.3100000000004"/>
    <n v="4170.75"/>
    <n v="4185.47"/>
    <n v="4157430000"/>
    <s v="April"/>
    <s v="SP500"/>
  </r>
  <r>
    <x v="181"/>
    <x v="8"/>
    <x v="0"/>
    <n v="4139.76"/>
    <n v="4173.49"/>
    <n v="4139.76"/>
    <n v="4170.42"/>
    <n v="4027680000"/>
    <s v="April"/>
    <s v="SP500"/>
  </r>
  <r>
    <x v="182"/>
    <x v="8"/>
    <x v="0"/>
    <n v="4141.58"/>
    <n v="4151.6899999999996"/>
    <n v="4120.87"/>
    <n v="4124.66"/>
    <n v="3976540000"/>
    <s v="April"/>
    <s v="SP500"/>
  </r>
  <r>
    <x v="183"/>
    <x v="8"/>
    <x v="0"/>
    <n v="4130.1000000000004"/>
    <n v="4148"/>
    <n v="4124.43"/>
    <n v="4141.59"/>
    <n v="3728440000"/>
    <s v="April"/>
    <s v="SP500"/>
  </r>
  <r>
    <x v="184"/>
    <x v="8"/>
    <x v="0"/>
    <n v="4124.71"/>
    <n v="4131.76"/>
    <n v="4114.82"/>
    <n v="4127.99"/>
    <n v="3578500000"/>
    <s v="April"/>
    <s v="SP500"/>
  </r>
  <r>
    <x v="185"/>
    <x v="8"/>
    <x v="0"/>
    <n v="4096.1099999999997"/>
    <n v="4129.4799999999996"/>
    <n v="4095.51"/>
    <n v="4128.8"/>
    <n v="3634910000"/>
    <s v="April"/>
    <s v="SP500"/>
  </r>
  <r>
    <x v="186"/>
    <x v="8"/>
    <x v="0"/>
    <n v="4089.95"/>
    <n v="4098.1899999999996"/>
    <n v="4082.54"/>
    <n v="4097.17"/>
    <n v="3901910000"/>
    <s v="April"/>
    <s v="SP500"/>
  </r>
  <r>
    <x v="187"/>
    <x v="8"/>
    <x v="0"/>
    <n v="4074.29"/>
    <n v="4083.13"/>
    <n v="4068.31"/>
    <n v="4079.95"/>
    <n v="4112640000"/>
    <s v="April"/>
    <s v="SP500"/>
  </r>
  <r>
    <x v="188"/>
    <x v="8"/>
    <x v="0"/>
    <n v="4075.57"/>
    <n v="4086.23"/>
    <n v="4068.14"/>
    <n v="4073.94"/>
    <n v="4027880000"/>
    <s v="April"/>
    <s v="SP500"/>
  </r>
  <r>
    <x v="189"/>
    <x v="8"/>
    <x v="0"/>
    <n v="4034.44"/>
    <n v="4083.42"/>
    <n v="4034.44"/>
    <n v="4077.91"/>
    <n v="3999760000"/>
    <s v="April"/>
    <s v="SP500"/>
  </r>
  <r>
    <x v="190"/>
    <x v="8"/>
    <x v="0"/>
    <n v="3992.78"/>
    <n v="4020.63"/>
    <n v="3992.78"/>
    <n v="4019.87"/>
    <n v="4151240000"/>
    <s v="April"/>
    <s v="SP500"/>
  </r>
  <r>
    <x v="191"/>
    <x v="9"/>
    <x v="0"/>
    <n v="3967.25"/>
    <n v="3994.41"/>
    <n v="3966.98"/>
    <n v="3972.89"/>
    <n v="4564980000"/>
    <s v="March"/>
    <s v="SP500"/>
  </r>
  <r>
    <x v="192"/>
    <x v="9"/>
    <x v="0"/>
    <n v="3963.34"/>
    <n v="3968.01"/>
    <n v="3944.35"/>
    <n v="3958.55"/>
    <n v="4103570000"/>
    <s v="March"/>
    <s v="SP500"/>
  </r>
  <r>
    <x v="193"/>
    <x v="9"/>
    <x v="0"/>
    <n v="3969.31"/>
    <n v="3981.83"/>
    <n v="3943.25"/>
    <n v="3971.09"/>
    <n v="4619840000"/>
    <s v="March"/>
    <s v="SP500"/>
  </r>
  <r>
    <x v="194"/>
    <x v="9"/>
    <x v="0"/>
    <n v="3917.12"/>
    <n v="3978.19"/>
    <n v="3917.12"/>
    <n v="3974.54"/>
    <n v="5467850000"/>
    <s v="March"/>
    <s v="SP500"/>
  </r>
  <r>
    <x v="195"/>
    <x v="9"/>
    <x v="0"/>
    <n v="3879.34"/>
    <n v="3919.54"/>
    <n v="3853.5"/>
    <n v="3909.52"/>
    <n v="4940800000"/>
    <s v="March"/>
    <s v="SP500"/>
  </r>
  <r>
    <x v="196"/>
    <x v="9"/>
    <x v="0"/>
    <n v="3919.93"/>
    <n v="3942.08"/>
    <n v="3889.07"/>
    <n v="3889.14"/>
    <n v="4766990000"/>
    <s v="March"/>
    <s v="SP500"/>
  </r>
  <r>
    <x v="197"/>
    <x v="9"/>
    <x v="0"/>
    <n v="3937.6"/>
    <n v="3949.13"/>
    <n v="3901.57"/>
    <n v="3910.52"/>
    <n v="4645340000"/>
    <s v="March"/>
    <s v="SP500"/>
  </r>
  <r>
    <x v="198"/>
    <x v="9"/>
    <x v="0"/>
    <n v="3916.48"/>
    <n v="3955.31"/>
    <n v="3914.16"/>
    <n v="3940.59"/>
    <n v="4311380000"/>
    <s v="March"/>
    <s v="SP500"/>
  </r>
  <r>
    <x v="199"/>
    <x v="9"/>
    <x v="0"/>
    <n v="3913.14"/>
    <n v="3930.12"/>
    <n v="3886.75"/>
    <n v="3913.1"/>
    <n v="7725050000"/>
    <s v="March"/>
    <s v="SP500"/>
  </r>
  <r>
    <x v="200"/>
    <x v="9"/>
    <x v="0"/>
    <n v="3953.5"/>
    <n v="3969.62"/>
    <n v="3910.86"/>
    <n v="3915.46"/>
    <n v="4043170000"/>
    <s v="March"/>
    <s v="SP500"/>
  </r>
  <r>
    <x v="201"/>
    <x v="9"/>
    <x v="0"/>
    <n v="3949.57"/>
    <n v="3983.87"/>
    <n v="3935.74"/>
    <n v="3974.12"/>
    <n v="4541620000"/>
    <s v="March"/>
    <s v="SP500"/>
  </r>
  <r>
    <x v="202"/>
    <x v="9"/>
    <x v="0"/>
    <n v="3973.59"/>
    <n v="3981.04"/>
    <n v="3953.44"/>
    <n v="3962.71"/>
    <n v="4604870000"/>
    <s v="March"/>
    <s v="SP500"/>
  </r>
  <r>
    <x v="203"/>
    <x v="9"/>
    <x v="0"/>
    <n v="3942.96"/>
    <n v="3970.08"/>
    <n v="3923.54"/>
    <n v="3968.94"/>
    <n v="4882190000"/>
    <s v="March"/>
    <s v="SP500"/>
  </r>
  <r>
    <x v="204"/>
    <x v="9"/>
    <x v="0"/>
    <n v="3924.52"/>
    <n v="3944.99"/>
    <n v="3915.21"/>
    <n v="3943.34"/>
    <n v="4469240000"/>
    <s v="March"/>
    <s v="SP500"/>
  </r>
  <r>
    <x v="205"/>
    <x v="9"/>
    <x v="0"/>
    <n v="3915.54"/>
    <n v="3960.27"/>
    <n v="3915.54"/>
    <n v="3939.34"/>
    <n v="5300010000"/>
    <s v="March"/>
    <s v="SP500"/>
  </r>
  <r>
    <x v="206"/>
    <x v="9"/>
    <x v="0"/>
    <n v="3891.99"/>
    <n v="3917.35"/>
    <n v="3885.73"/>
    <n v="3898.81"/>
    <n v="5827250000"/>
    <s v="March"/>
    <s v="SP500"/>
  </r>
  <r>
    <x v="207"/>
    <x v="9"/>
    <x v="0"/>
    <n v="3851.93"/>
    <n v="3903.76"/>
    <n v="3851.93"/>
    <n v="3875.44"/>
    <n v="5496340000"/>
    <s v="March"/>
    <s v="SP500"/>
  </r>
  <r>
    <x v="208"/>
    <x v="9"/>
    <x v="0"/>
    <n v="3844.39"/>
    <n v="3881.06"/>
    <n v="3819.25"/>
    <n v="3821.35"/>
    <n v="5852240000"/>
    <s v="March"/>
    <s v="SP500"/>
  </r>
  <r>
    <x v="209"/>
    <x v="9"/>
    <x v="0"/>
    <n v="3793.58"/>
    <n v="3851.69"/>
    <n v="3730.19"/>
    <n v="3841.94"/>
    <n v="6842570000"/>
    <s v="March"/>
    <s v="SP500"/>
  </r>
  <r>
    <x v="210"/>
    <x v="9"/>
    <x v="0"/>
    <n v="3818.53"/>
    <n v="3843.67"/>
    <n v="3723.34"/>
    <n v="3768.47"/>
    <n v="7142240000"/>
    <s v="March"/>
    <s v="SP500"/>
  </r>
  <r>
    <x v="211"/>
    <x v="9"/>
    <x v="0"/>
    <n v="3863.99"/>
    <n v="3874.47"/>
    <n v="3818.86"/>
    <n v="3819.72"/>
    <n v="6150790000"/>
    <s v="March"/>
    <s v="SP500"/>
  </r>
  <r>
    <x v="212"/>
    <x v="9"/>
    <x v="0"/>
    <n v="3903.64"/>
    <n v="3906.41"/>
    <n v="3868.57"/>
    <n v="3870.29"/>
    <n v="5493690000"/>
    <s v="March"/>
    <s v="SP500"/>
  </r>
  <r>
    <x v="213"/>
    <x v="9"/>
    <x v="0"/>
    <n v="3842.51"/>
    <n v="3914.5"/>
    <n v="3842.51"/>
    <n v="3901.82"/>
    <n v="5071540000"/>
    <s v="March"/>
    <s v="SP500"/>
  </r>
  <r>
    <x v="214"/>
    <x v="10"/>
    <x v="0"/>
    <n v="3839.66"/>
    <n v="3861.08"/>
    <n v="3789.54"/>
    <n v="3811.15"/>
    <n v="6512950000"/>
    <s v="February"/>
    <s v="SP500"/>
  </r>
  <r>
    <x v="215"/>
    <x v="10"/>
    <x v="0"/>
    <n v="3915.8"/>
    <n v="3925.02"/>
    <n v="3814.04"/>
    <n v="3829.34"/>
    <n v="6513060000"/>
    <s v="February"/>
    <s v="SP500"/>
  </r>
  <r>
    <x v="216"/>
    <x v="10"/>
    <x v="0"/>
    <n v="3873.71"/>
    <n v="3928.65"/>
    <n v="3859.6"/>
    <n v="3925.43"/>
    <n v="5942350000"/>
    <s v="February"/>
    <s v="SP500"/>
  </r>
  <r>
    <x v="217"/>
    <x v="10"/>
    <x v="0"/>
    <n v="3857.07"/>
    <n v="3895.98"/>
    <n v="3805.59"/>
    <n v="3881.37"/>
    <n v="6280650000"/>
    <s v="February"/>
    <s v="SP500"/>
  </r>
  <r>
    <x v="218"/>
    <x v="10"/>
    <x v="0"/>
    <n v="3885.55"/>
    <n v="3902.92"/>
    <n v="3874.71"/>
    <n v="3876.5"/>
    <n v="5870190000"/>
    <s v="February"/>
    <s v="SP500"/>
  </r>
  <r>
    <x v="219"/>
    <x v="10"/>
    <x v="0"/>
    <n v="3921.16"/>
    <n v="3930.41"/>
    <n v="3903.07"/>
    <n v="3906.71"/>
    <n v="4823940000"/>
    <s v="February"/>
    <s v="SP500"/>
  </r>
  <r>
    <x v="220"/>
    <x v="10"/>
    <x v="0"/>
    <n v="3915.86"/>
    <n v="3921.98"/>
    <n v="3885.03"/>
    <n v="3913.97"/>
    <n v="4773430000"/>
    <s v="February"/>
    <s v="SP500"/>
  </r>
  <r>
    <x v="221"/>
    <x v="10"/>
    <x v="0"/>
    <n v="3918.5"/>
    <n v="3933.61"/>
    <n v="3900.43"/>
    <n v="3931.33"/>
    <n v="4718280000"/>
    <s v="February"/>
    <s v="SP500"/>
  </r>
  <r>
    <x v="222"/>
    <x v="10"/>
    <x v="0"/>
    <n v="3939.61"/>
    <n v="3950.43"/>
    <n v="3923.85"/>
    <n v="3932.59"/>
    <n v="5037360000"/>
    <s v="February"/>
    <s v="SP500"/>
  </r>
  <r>
    <x v="223"/>
    <x v="10"/>
    <x v="0"/>
    <n v="3911.65"/>
    <n v="3937.23"/>
    <n v="3905.78"/>
    <n v="3934.83"/>
    <n v="4119260000"/>
    <s v="February"/>
    <s v="SP500"/>
  </r>
  <r>
    <x v="224"/>
    <x v="10"/>
    <x v="0"/>
    <n v="3916.4"/>
    <n v="3925.99"/>
    <n v="3890.39"/>
    <n v="3916.38"/>
    <n v="4570080000"/>
    <s v="February"/>
    <s v="SP500"/>
  </r>
  <r>
    <x v="225"/>
    <x v="10"/>
    <x v="0"/>
    <n v="3920.78"/>
    <n v="3931.5"/>
    <n v="3884.94"/>
    <n v="3909.88"/>
    <n v="4815380000"/>
    <s v="February"/>
    <s v="SP500"/>
  </r>
  <r>
    <x v="226"/>
    <x v="10"/>
    <x v="0"/>
    <n v="3910.49"/>
    <n v="3918.35"/>
    <n v="3902.64"/>
    <n v="3911.23"/>
    <n v="4554610000"/>
    <s v="February"/>
    <s v="SP500"/>
  </r>
  <r>
    <x v="227"/>
    <x v="10"/>
    <x v="0"/>
    <n v="3892.59"/>
    <n v="3915.77"/>
    <n v="3892.59"/>
    <n v="3915.59"/>
    <n v="4635030000"/>
    <s v="February"/>
    <s v="SP500"/>
  </r>
  <r>
    <x v="228"/>
    <x v="10"/>
    <x v="0"/>
    <n v="3878.3"/>
    <n v="3894.56"/>
    <n v="3874.93"/>
    <n v="3886.83"/>
    <n v="4838580000"/>
    <s v="February"/>
    <s v="SP500"/>
  </r>
  <r>
    <x v="229"/>
    <x v="10"/>
    <x v="0"/>
    <n v="3836.66"/>
    <n v="3872.42"/>
    <n v="3836.66"/>
    <n v="3871.74"/>
    <n v="4856670000"/>
    <s v="February"/>
    <s v="SP500"/>
  </r>
  <r>
    <x v="230"/>
    <x v="10"/>
    <x v="0"/>
    <n v="3840.27"/>
    <n v="3847.51"/>
    <n v="3816.68"/>
    <n v="3830.17"/>
    <n v="4846900000"/>
    <s v="February"/>
    <s v="SP500"/>
  </r>
  <r>
    <x v="231"/>
    <x v="10"/>
    <x v="0"/>
    <n v="3791.84"/>
    <n v="3843.09"/>
    <n v="3791.84"/>
    <n v="3826.31"/>
    <n v="5495370000"/>
    <s v="February"/>
    <s v="SP500"/>
  </r>
  <r>
    <x v="232"/>
    <x v="10"/>
    <x v="0"/>
    <n v="3731.17"/>
    <n v="3784.32"/>
    <n v="3725.62"/>
    <n v="3773.86"/>
    <n v="5392870000"/>
    <s v="February"/>
    <s v="SP500"/>
  </r>
  <r>
    <x v="233"/>
    <x v="11"/>
    <x v="0"/>
    <n v="3778.05"/>
    <n v="3778.05"/>
    <n v="3694.12"/>
    <n v="3714.24"/>
    <n v="6612570000"/>
    <s v="January"/>
    <s v="SP500"/>
  </r>
  <r>
    <x v="234"/>
    <x v="11"/>
    <x v="0"/>
    <n v="3755.75"/>
    <n v="3830.5"/>
    <n v="3755.75"/>
    <n v="3787.38"/>
    <n v="6937960000"/>
    <s v="January"/>
    <s v="SP500"/>
  </r>
  <r>
    <x v="235"/>
    <x v="11"/>
    <x v="0"/>
    <n v="3836.83"/>
    <n v="3836.83"/>
    <n v="3732.48"/>
    <n v="3750.77"/>
    <n v="9878040000"/>
    <s v="January"/>
    <s v="SP500"/>
  </r>
  <r>
    <x v="236"/>
    <x v="11"/>
    <x v="0"/>
    <n v="3862.96"/>
    <n v="3870.9"/>
    <n v="3847.78"/>
    <n v="3849.62"/>
    <n v="6029090000"/>
    <s v="January"/>
    <s v="SP500"/>
  </r>
  <r>
    <x v="237"/>
    <x v="11"/>
    <x v="0"/>
    <n v="3851.68"/>
    <n v="3859.23"/>
    <n v="3797.16"/>
    <n v="3855.36"/>
    <n v="6955860000"/>
    <s v="January"/>
    <s v="SP500"/>
  </r>
  <r>
    <x v="238"/>
    <x v="11"/>
    <x v="0"/>
    <n v="3844.24"/>
    <n v="3852.31"/>
    <n v="3830.41"/>
    <n v="3841.47"/>
    <n v="5080430000"/>
    <s v="January"/>
    <s v="SP500"/>
  </r>
  <r>
    <x v="239"/>
    <x v="11"/>
    <x v="0"/>
    <n v="3857.46"/>
    <n v="3861.45"/>
    <n v="3845.05"/>
    <n v="3853.07"/>
    <n v="4484460000"/>
    <s v="January"/>
    <s v="SP500"/>
  </r>
  <r>
    <x v="240"/>
    <x v="11"/>
    <x v="0"/>
    <n v="3816.22"/>
    <n v="3859.75"/>
    <n v="3816.22"/>
    <n v="3851.85"/>
    <n v="4551790000"/>
    <s v="January"/>
    <s v="SP500"/>
  </r>
  <r>
    <x v="241"/>
    <x v="11"/>
    <x v="0"/>
    <n v="3781.88"/>
    <n v="3804.53"/>
    <n v="3780.37"/>
    <n v="3798.91"/>
    <n v="4982940000"/>
    <s v="January"/>
    <s v="SP500"/>
  </r>
  <r>
    <x v="242"/>
    <x v="11"/>
    <x v="0"/>
    <n v="3788.73"/>
    <n v="3788.73"/>
    <n v="3749.62"/>
    <n v="3768.25"/>
    <n v="5353060000"/>
    <s v="January"/>
    <s v="SP500"/>
  </r>
  <r>
    <x v="243"/>
    <x v="11"/>
    <x v="0"/>
    <n v="3814.98"/>
    <n v="3823.6"/>
    <n v="3792.86"/>
    <n v="3795.54"/>
    <n v="5180140000"/>
    <s v="January"/>
    <s v="SP500"/>
  </r>
  <r>
    <x v="244"/>
    <x v="11"/>
    <x v="0"/>
    <n v="3802.23"/>
    <n v="3820.96"/>
    <n v="3791.5"/>
    <n v="3809.84"/>
    <n v="4590420000"/>
    <s v="January"/>
    <s v="SP500"/>
  </r>
  <r>
    <x v="245"/>
    <x v="11"/>
    <x v="0"/>
    <n v="3801.62"/>
    <n v="3810.78"/>
    <n v="3776.51"/>
    <n v="3801.19"/>
    <n v="4977210000"/>
    <s v="January"/>
    <s v="SP500"/>
  </r>
  <r>
    <x v="246"/>
    <x v="11"/>
    <x v="0"/>
    <n v="3803.14"/>
    <n v="3817.86"/>
    <n v="3789.02"/>
    <n v="3799.61"/>
    <n v="4450500000"/>
    <s v="January"/>
    <s v="SP500"/>
  </r>
  <r>
    <x v="247"/>
    <x v="11"/>
    <x v="0"/>
    <n v="3815.05"/>
    <n v="3826.69"/>
    <n v="3783.6"/>
    <n v="3824.68"/>
    <n v="4764180000"/>
    <s v="January"/>
    <s v="SP500"/>
  </r>
  <r>
    <x v="248"/>
    <x v="11"/>
    <x v="0"/>
    <n v="3764.71"/>
    <n v="3811.55"/>
    <n v="3764.71"/>
    <n v="3803.79"/>
    <n v="5080870000"/>
    <s v="January"/>
    <s v="SP500"/>
  </r>
  <r>
    <x v="249"/>
    <x v="11"/>
    <x v="0"/>
    <n v="3712.2"/>
    <n v="3783.04"/>
    <n v="3705.34"/>
    <n v="3748.14"/>
    <n v="6049970000"/>
    <s v="January"/>
    <s v="SP500"/>
  </r>
  <r>
    <x v="250"/>
    <x v="11"/>
    <x v="0"/>
    <n v="3698.02"/>
    <n v="3737.83"/>
    <n v="3695.07"/>
    <n v="3726.86"/>
    <n v="4582620000"/>
    <s v="January"/>
    <s v="SP500"/>
  </r>
  <r>
    <x v="251"/>
    <x v="11"/>
    <x v="0"/>
    <n v="3764.61"/>
    <n v="3769.99"/>
    <n v="3662.71"/>
    <n v="3700.65"/>
    <n v="5006680000"/>
    <s v="January"/>
    <s v="SP500"/>
  </r>
  <r>
    <x v="0"/>
    <x v="12"/>
    <x v="1"/>
    <n v="47207.99"/>
    <n v="48578.35"/>
    <n v="45641.11"/>
    <n v="46806.83"/>
    <n v="1591.71"/>
    <s v="Dec"/>
    <s v="BTCUSD"/>
  </r>
  <r>
    <x v="1"/>
    <x v="12"/>
    <x v="1"/>
    <n v="46502.44"/>
    <n v="47949.3"/>
    <n v="46496.19"/>
    <n v="47207.99"/>
    <n v="998.41"/>
    <s v="Dec"/>
    <s v="BTCUSD"/>
  </r>
  <r>
    <x v="2"/>
    <x v="12"/>
    <x v="1"/>
    <n v="48017.93"/>
    <n v="48075.97"/>
    <n v="45945.3"/>
    <n v="46502.44"/>
    <n v="1119.6300000000001"/>
    <s v="Dec"/>
    <s v="BTCUSD"/>
  </r>
  <r>
    <x v="3"/>
    <x v="12"/>
    <x v="1"/>
    <n v="49821.79"/>
    <n v="49834.68"/>
    <n v="47322.97"/>
    <n v="48017.93"/>
    <n v="1275.01"/>
    <s v="Dec"/>
    <s v="BTCUSD"/>
  </r>
  <r>
    <x v="4"/>
    <x v="12"/>
    <x v="1"/>
    <n v="51036.12"/>
    <n v="52104.93"/>
    <n v="49509.47"/>
    <n v="49821.79"/>
    <n v="896.04"/>
    <s v="Dec"/>
    <s v="BTCUSD"/>
  </r>
  <r>
    <x v="252"/>
    <x v="12"/>
    <x v="1"/>
    <n v="49705.21"/>
    <n v="51294.26"/>
    <n v="49460.66"/>
    <n v="51036.12"/>
    <n v="489.24"/>
    <s v="Dec"/>
    <s v="BTCUSD"/>
  </r>
  <r>
    <x v="253"/>
    <x v="12"/>
    <x v="1"/>
    <n v="50872.31"/>
    <n v="51156.95"/>
    <n v="49656.65"/>
    <n v="49705.21"/>
    <n v="400.67"/>
    <s v="Dec"/>
    <s v="BTCUSD"/>
  </r>
  <r>
    <x v="254"/>
    <x v="12"/>
    <x v="1"/>
    <n v="51067.839999999997"/>
    <n v="51866.86"/>
    <n v="50461.08"/>
    <n v="50872.31"/>
    <n v="558.12"/>
    <s v="Dec"/>
    <s v="BTCUSD"/>
  </r>
  <r>
    <x v="5"/>
    <x v="12"/>
    <x v="1"/>
    <n v="48545.38"/>
    <n v="51533.71"/>
    <n v="48072.35"/>
    <n v="51067.839999999997"/>
    <n v="1001.26"/>
    <s v="Dec"/>
    <s v="BTCUSD"/>
  </r>
  <r>
    <x v="6"/>
    <x v="12"/>
    <x v="1"/>
    <n v="49263.44"/>
    <n v="49548.86"/>
    <n v="48063.360000000001"/>
    <n v="48545.38"/>
    <n v="726.8"/>
    <s v="Dec"/>
    <s v="BTCUSD"/>
  </r>
  <r>
    <x v="7"/>
    <x v="12"/>
    <x v="1"/>
    <n v="47954.559999999998"/>
    <n v="49598.11"/>
    <n v="47948.07"/>
    <n v="49263.44"/>
    <n v="1235.8900000000001"/>
    <s v="Dec"/>
    <s v="BTCUSD"/>
  </r>
  <r>
    <x v="8"/>
    <x v="12"/>
    <x v="1"/>
    <n v="46709.08"/>
    <n v="48082.61"/>
    <n v="45579.18"/>
    <n v="47954.559999999998"/>
    <n v="954.7"/>
    <s v="Dec"/>
    <s v="BTCUSD"/>
  </r>
  <r>
    <x v="255"/>
    <x v="12"/>
    <x v="1"/>
    <n v="47745.99"/>
    <n v="48306.22"/>
    <n v="46255"/>
    <n v="46709.08"/>
    <n v="670.52"/>
    <s v="Dec"/>
    <s v="BTCUSD"/>
  </r>
  <r>
    <x v="256"/>
    <x v="12"/>
    <x v="1"/>
    <n v="46312.19"/>
    <n v="47980.93"/>
    <n v="46100"/>
    <n v="47745.99"/>
    <n v="500.98"/>
    <s v="Dec"/>
    <s v="BTCUSD"/>
  </r>
  <r>
    <x v="9"/>
    <x v="12"/>
    <x v="1"/>
    <n v="47779.8"/>
    <n v="48194.13"/>
    <n v="45463.96"/>
    <n v="46312.19"/>
    <n v="1294.0999999999999"/>
    <s v="Dec"/>
    <s v="BTCUSD"/>
  </r>
  <r>
    <x v="10"/>
    <x v="12"/>
    <x v="1"/>
    <n v="48838.59"/>
    <n v="49466.29"/>
    <n v="47438.15"/>
    <n v="47779.8"/>
    <n v="881.67"/>
    <s v="Dec"/>
    <s v="BTCUSD"/>
  </r>
  <r>
    <x v="11"/>
    <x v="12"/>
    <x v="1"/>
    <n v="48280.5"/>
    <n v="49500"/>
    <n v="46539"/>
    <n v="48838.59"/>
    <n v="1684.17"/>
    <s v="Dec"/>
    <s v="BTCUSD"/>
  </r>
  <r>
    <x v="12"/>
    <x v="12"/>
    <x v="1"/>
    <n v="46968.47"/>
    <n v="48784.28"/>
    <n v="46350"/>
    <n v="48280.5"/>
    <n v="1026.1199999999999"/>
    <s v="Dec"/>
    <s v="BTCUSD"/>
  </r>
  <r>
    <x v="13"/>
    <x v="12"/>
    <x v="1"/>
    <n v="48899.75"/>
    <n v="49348.69"/>
    <n v="45618.84"/>
    <n v="46968.47"/>
    <n v="1749.04"/>
    <s v="Dec"/>
    <s v="BTCUSD"/>
  </r>
  <r>
    <x v="257"/>
    <x v="12"/>
    <x v="1"/>
    <n v="49333.66"/>
    <n v="50808.480000000003"/>
    <n v="48490.81"/>
    <n v="48899.75"/>
    <n v="779.55"/>
    <s v="Dec"/>
    <s v="BTCUSD"/>
  </r>
  <r>
    <x v="258"/>
    <x v="12"/>
    <x v="1"/>
    <n v="48331.11"/>
    <n v="49699.99"/>
    <n v="47819.28"/>
    <n v="49333.66"/>
    <n v="623.86"/>
    <s v="Dec"/>
    <s v="BTCUSD"/>
  </r>
  <r>
    <x v="14"/>
    <x v="12"/>
    <x v="1"/>
    <n v="48405.03"/>
    <n v="49243"/>
    <n v="46759.199999999997"/>
    <n v="48331.11"/>
    <n v="766.72"/>
    <s v="Dec"/>
    <s v="BTCUSD"/>
  </r>
  <r>
    <x v="15"/>
    <x v="12"/>
    <x v="1"/>
    <n v="49567.4"/>
    <n v="50362.35"/>
    <n v="47335.199999999997"/>
    <n v="48405.03"/>
    <n v="1686.8"/>
    <s v="Dec"/>
    <s v="BTCUSD"/>
  </r>
  <r>
    <x v="16"/>
    <x v="12"/>
    <x v="1"/>
    <n v="50162.48"/>
    <n v="51269.82"/>
    <n v="48669.68"/>
    <n v="49567.4"/>
    <n v="1215.5999999999999"/>
    <s v="Dec"/>
    <s v="BTCUSD"/>
  </r>
  <r>
    <x v="17"/>
    <x v="12"/>
    <x v="1"/>
    <n v="51012.43"/>
    <n v="51982.66"/>
    <n v="50086"/>
    <n v="50162.48"/>
    <n v="1220.79"/>
    <s v="Dec"/>
    <s v="BTCUSD"/>
  </r>
  <r>
    <x v="18"/>
    <x v="12"/>
    <x v="1"/>
    <n v="49103.01"/>
    <n v="51481.04"/>
    <n v="47165.65"/>
    <n v="51012.43"/>
    <n v="2139.33"/>
    <s v="Dec"/>
    <s v="BTCUSD"/>
  </r>
  <r>
    <x v="259"/>
    <x v="12"/>
    <x v="1"/>
    <n v="49249.56"/>
    <n v="49786.95"/>
    <n v="47844.03"/>
    <n v="49103.01"/>
    <n v="3697.03"/>
    <s v="Dec"/>
    <s v="BTCUSD"/>
  </r>
  <r>
    <x v="260"/>
    <x v="12"/>
    <x v="1"/>
    <n v="52055.9"/>
    <n v="52644.42"/>
    <n v="42074.62"/>
    <n v="49249.56"/>
    <n v="5486.89"/>
    <s v="Dec"/>
    <s v="BTCUSD"/>
  </r>
  <r>
    <x v="19"/>
    <x v="12"/>
    <x v="1"/>
    <n v="56380.25"/>
    <n v="57673.58"/>
    <n v="51619.3"/>
    <n v="52055.9"/>
    <n v="1784.77"/>
    <s v="Dec"/>
    <s v="BTCUSD"/>
  </r>
  <r>
    <x v="20"/>
    <x v="12"/>
    <x v="1"/>
    <n v="56362.19"/>
    <n v="57277.919999999998"/>
    <n v="56000"/>
    <n v="56380.25"/>
    <n v="1140.49"/>
    <s v="Dec"/>
    <s v="BTCUSD"/>
  </r>
  <r>
    <x v="21"/>
    <x v="12"/>
    <x v="1"/>
    <n v="57404.47"/>
    <n v="59105.91"/>
    <n v="55860.02"/>
    <n v="56362.19"/>
    <n v="1420.43"/>
    <s v="Dec"/>
    <s v="BTCUSD"/>
  </r>
  <r>
    <x v="22"/>
    <x v="13"/>
    <x v="1"/>
    <n v="57163.87"/>
    <n v="59226.98"/>
    <n v="55930.25"/>
    <n v="57404.47"/>
    <n v="1487.28"/>
    <s v="Nov"/>
    <s v="BTCUSD"/>
  </r>
  <r>
    <x v="23"/>
    <x v="13"/>
    <x v="1"/>
    <n v="57400.61"/>
    <n v="58903.31"/>
    <n v="56734.49"/>
    <n v="57163.87"/>
    <n v="1057.04"/>
    <s v="Nov"/>
    <s v="BTCUSD"/>
  </r>
  <r>
    <x v="261"/>
    <x v="13"/>
    <x v="1"/>
    <n v="54161.85"/>
    <n v="58265.2"/>
    <n v="53333.33"/>
    <n v="57400.61"/>
    <n v="790.75"/>
    <s v="Nov"/>
    <s v="BTCUSD"/>
  </r>
  <r>
    <x v="262"/>
    <x v="13"/>
    <x v="1"/>
    <n v="54409.03"/>
    <n v="55320.800000000003"/>
    <n v="53739.8"/>
    <n v="54161.85"/>
    <n v="556.51"/>
    <s v="Nov"/>
    <s v="BTCUSD"/>
  </r>
  <r>
    <x v="24"/>
    <x v="13"/>
    <x v="1"/>
    <n v="57952.35"/>
    <n v="58043.76"/>
    <n v="53529"/>
    <n v="54409.03"/>
    <n v="2804.1"/>
    <s v="Nov"/>
    <s v="BTCUSD"/>
  </r>
  <r>
    <x v="263"/>
    <x v="13"/>
    <x v="1"/>
    <n v="57756.25"/>
    <n v="59476.65"/>
    <n v="57051.76"/>
    <n v="57952.35"/>
    <n v="628.99"/>
    <s v="Nov"/>
    <s v="BTCUSD"/>
  </r>
  <r>
    <x v="25"/>
    <x v="13"/>
    <x v="1"/>
    <n v="56423.5"/>
    <n v="58276.58"/>
    <n v="55899"/>
    <n v="57756.25"/>
    <n v="1105.1600000000001"/>
    <s v="Nov"/>
    <s v="BTCUSD"/>
  </r>
  <r>
    <x v="26"/>
    <x v="13"/>
    <x v="1"/>
    <n v="56975.38"/>
    <n v="57882.26"/>
    <n v="55384"/>
    <n v="56423.5"/>
    <n v="1584.78"/>
    <s v="Nov"/>
    <s v="BTCUSD"/>
  </r>
  <r>
    <x v="27"/>
    <x v="13"/>
    <x v="1"/>
    <n v="57440.38"/>
    <n v="59581.52"/>
    <n v="55648.53"/>
    <n v="56975.38"/>
    <n v="1430.31"/>
    <s v="Nov"/>
    <s v="BTCUSD"/>
  </r>
  <r>
    <x v="264"/>
    <x v="13"/>
    <x v="1"/>
    <n v="58741.06"/>
    <n v="60061.89"/>
    <n v="57049.07"/>
    <n v="57440.38"/>
    <n v="649.59"/>
    <s v="Nov"/>
    <s v="BTCUSD"/>
  </r>
  <r>
    <x v="265"/>
    <x v="13"/>
    <x v="1"/>
    <n v="58596.83"/>
    <n v="59886.11"/>
    <n v="57442"/>
    <n v="58741.06"/>
    <n v="777.79"/>
    <s v="Nov"/>
    <s v="BTCUSD"/>
  </r>
  <r>
    <x v="28"/>
    <x v="13"/>
    <x v="1"/>
    <n v="55911.16"/>
    <n v="59042"/>
    <n v="55856.95"/>
    <n v="58596.83"/>
    <n v="1483.12"/>
    <s v="Nov"/>
    <s v="BTCUSD"/>
  </r>
  <r>
    <x v="29"/>
    <x v="13"/>
    <x v="1"/>
    <n v="59885.21"/>
    <n v="60106.3"/>
    <n v="53760"/>
    <n v="55911.16"/>
    <n v="3999.42"/>
    <s v="Nov"/>
    <s v="BTCUSD"/>
  </r>
  <r>
    <x v="30"/>
    <x v="13"/>
    <x v="1"/>
    <n v="59050.45"/>
    <n v="60976.25"/>
    <n v="58434.8"/>
    <n v="59885.21"/>
    <n v="1794.84"/>
    <s v="Nov"/>
    <s v="BTCUSD"/>
  </r>
  <r>
    <x v="31"/>
    <x v="13"/>
    <x v="1"/>
    <n v="60944.13"/>
    <n v="61558.53"/>
    <n v="58573"/>
    <n v="59050.45"/>
    <n v="2725.2"/>
    <s v="Nov"/>
    <s v="BTCUSD"/>
  </r>
  <r>
    <x v="32"/>
    <x v="13"/>
    <x v="1"/>
    <n v="65744.179999999993"/>
    <n v="66340.740000000005"/>
    <n v="60503"/>
    <n v="60944.13"/>
    <n v="1790.8"/>
    <s v="Nov"/>
    <s v="BTCUSD"/>
  </r>
  <r>
    <x v="266"/>
    <x v="13"/>
    <x v="1"/>
    <n v="64673.279999999999"/>
    <n v="66200"/>
    <n v="63602.2"/>
    <n v="65744.179999999993"/>
    <n v="528.5"/>
    <s v="Nov"/>
    <s v="BTCUSD"/>
  </r>
  <r>
    <x v="267"/>
    <x v="13"/>
    <x v="1"/>
    <n v="63805.120000000003"/>
    <n v="65338.87"/>
    <n v="63409.49"/>
    <n v="64673.279999999999"/>
    <n v="310.01"/>
    <s v="Nov"/>
    <s v="BTCUSD"/>
  </r>
  <r>
    <x v="33"/>
    <x v="13"/>
    <x v="1"/>
    <n v="64857.63"/>
    <n v="65071.49"/>
    <n v="62875"/>
    <n v="63805.120000000003"/>
    <n v="1466.29"/>
    <s v="Nov"/>
    <s v="BTCUSD"/>
  </r>
  <r>
    <x v="34"/>
    <x v="13"/>
    <x v="1"/>
    <n v="64785.34"/>
    <n v="65587"/>
    <n v="64121"/>
    <n v="64857.63"/>
    <n v="1050.51"/>
    <s v="Nov"/>
    <s v="BTCUSD"/>
  </r>
  <r>
    <x v="35"/>
    <x v="13"/>
    <x v="1"/>
    <n v="66491.25"/>
    <n v="69000"/>
    <n v="62927.97"/>
    <n v="64785.34"/>
    <n v="2966.58"/>
    <s v="Nov"/>
    <s v="BTCUSD"/>
  </r>
  <r>
    <x v="36"/>
    <x v="13"/>
    <x v="1"/>
    <n v="68525.75"/>
    <n v="68529.52"/>
    <n v="66262.48"/>
    <n v="66491.25"/>
    <n v="1229.46"/>
    <s v="Nov"/>
    <s v="BTCUSD"/>
  </r>
  <r>
    <x v="37"/>
    <x v="13"/>
    <x v="1"/>
    <n v="65235.199999999997"/>
    <n v="68534.11"/>
    <n v="65138"/>
    <n v="68525.75"/>
    <n v="1421.08"/>
    <s v="Nov"/>
    <s v="BTCUSD"/>
  </r>
  <r>
    <x v="268"/>
    <x v="13"/>
    <x v="1"/>
    <n v="62199.69"/>
    <n v="65680"/>
    <n v="61537.32"/>
    <n v="65235.199999999997"/>
    <n v="892.82"/>
    <s v="Nov"/>
    <s v="BTCUSD"/>
  </r>
  <r>
    <x v="269"/>
    <x v="13"/>
    <x v="1"/>
    <n v="61172.03"/>
    <n v="62338.16"/>
    <n v="60120"/>
    <n v="62199.69"/>
    <n v="758.38"/>
    <s v="Nov"/>
    <s v="BTCUSD"/>
  </r>
  <r>
    <x v="38"/>
    <x v="13"/>
    <x v="1"/>
    <n v="62249.599999999999"/>
    <n v="64000"/>
    <n v="60777.3"/>
    <n v="61172.03"/>
    <n v="1043.9100000000001"/>
    <s v="Nov"/>
    <s v="BTCUSD"/>
  </r>
  <r>
    <x v="39"/>
    <x v="13"/>
    <x v="1"/>
    <n v="62469.83"/>
    <n v="62858.83"/>
    <n v="60724.160000000003"/>
    <n v="62249.599999999999"/>
    <n v="1036.53"/>
    <s v="Nov"/>
    <s v="BTCUSD"/>
  </r>
  <r>
    <x v="40"/>
    <x v="13"/>
    <x v="1"/>
    <n v="63257.57"/>
    <n v="63547.54"/>
    <n v="60110"/>
    <n v="62469.83"/>
    <n v="1448.49"/>
    <s v="Nov"/>
    <s v="BTCUSD"/>
  </r>
  <r>
    <x v="41"/>
    <x v="13"/>
    <x v="1"/>
    <n v="61133.24"/>
    <n v="64319"/>
    <n v="61124.5"/>
    <n v="63257.57"/>
    <n v="1791.9"/>
    <s v="Nov"/>
    <s v="BTCUSD"/>
  </r>
  <r>
    <x v="42"/>
    <x v="13"/>
    <x v="1"/>
    <n v="59947.01"/>
    <n v="62490"/>
    <n v="59490.18"/>
    <n v="61133.24"/>
    <n v="1488.56"/>
    <s v="Nov"/>
    <s v="BTCUSD"/>
  </r>
  <r>
    <x v="270"/>
    <x v="14"/>
    <x v="1"/>
    <n v="61719.1"/>
    <n v="61768"/>
    <n v="59731.57"/>
    <n v="59947.01"/>
    <n v="975.65"/>
    <s v="Oct"/>
    <s v="BTCUSD"/>
  </r>
  <r>
    <x v="271"/>
    <x v="14"/>
    <x v="1"/>
    <n v="61669.43"/>
    <n v="62487.97"/>
    <n v="60696.52"/>
    <n v="61719.1"/>
    <n v="1116.81"/>
    <s v="Oct"/>
    <s v="BTCUSD"/>
  </r>
  <r>
    <x v="43"/>
    <x v="14"/>
    <x v="1"/>
    <n v="61706.36"/>
    <n v="62978"/>
    <n v="60367"/>
    <n v="61669.43"/>
    <n v="1737.13"/>
    <s v="Oct"/>
    <s v="BTCUSD"/>
  </r>
  <r>
    <x v="44"/>
    <x v="14"/>
    <x v="1"/>
    <n v="58884.7"/>
    <n v="62508.87"/>
    <n v="57500"/>
    <n v="61706.36"/>
    <n v="2789.79"/>
    <s v="Oct"/>
    <s v="BTCUSD"/>
  </r>
  <r>
    <x v="45"/>
    <x v="14"/>
    <x v="1"/>
    <n v="60728"/>
    <n v="61500"/>
    <n v="58100"/>
    <n v="58884.7"/>
    <n v="1865.12"/>
    <s v="Oct"/>
    <s v="BTCUSD"/>
  </r>
  <r>
    <x v="46"/>
    <x v="14"/>
    <x v="1"/>
    <n v="62765.47"/>
    <n v="63102.8"/>
    <n v="59850"/>
    <n v="60728"/>
    <n v="1278.71"/>
    <s v="Oct"/>
    <s v="BTCUSD"/>
  </r>
  <r>
    <x v="47"/>
    <x v="14"/>
    <x v="1"/>
    <n v="62091.93"/>
    <n v="63703.3"/>
    <n v="61822.81"/>
    <n v="62765.47"/>
    <n v="1477.09"/>
    <s v="Oct"/>
    <s v="BTCUSD"/>
  </r>
  <r>
    <x v="272"/>
    <x v="14"/>
    <x v="1"/>
    <n v="61226"/>
    <n v="62223.14"/>
    <n v="59505"/>
    <n v="62091.93"/>
    <n v="848.7"/>
    <s v="Oct"/>
    <s v="BTCUSD"/>
  </r>
  <r>
    <x v="273"/>
    <x v="14"/>
    <x v="1"/>
    <n v="61234.9"/>
    <n v="61743.51"/>
    <n v="59648.91"/>
    <n v="61226"/>
    <n v="543.67999999999995"/>
    <s v="Oct"/>
    <s v="BTCUSD"/>
  </r>
  <r>
    <x v="48"/>
    <x v="14"/>
    <x v="1"/>
    <n v="63243.4"/>
    <n v="63745.62"/>
    <n v="60000"/>
    <n v="61234.9"/>
    <n v="1652.99"/>
    <s v="Oct"/>
    <s v="BTCUSD"/>
  </r>
  <r>
    <x v="49"/>
    <x v="14"/>
    <x v="1"/>
    <n v="65077.99"/>
    <n v="66643.14"/>
    <n v="61418.02"/>
    <n v="63243.4"/>
    <n v="2908.73"/>
    <s v="Oct"/>
    <s v="BTCUSD"/>
  </r>
  <r>
    <x v="50"/>
    <x v="14"/>
    <x v="1"/>
    <n v="63870.2"/>
    <n v="66994.720000000001"/>
    <n v="63540.51"/>
    <n v="65077.99"/>
    <n v="2836.59"/>
    <s v="Oct"/>
    <s v="BTCUSD"/>
  </r>
  <r>
    <x v="51"/>
    <x v="14"/>
    <x v="1"/>
    <n v="62600"/>
    <n v="64498.12"/>
    <n v="61312"/>
    <n v="63870.2"/>
    <n v="1914.15"/>
    <s v="Oct"/>
    <s v="BTCUSD"/>
  </r>
  <r>
    <x v="52"/>
    <x v="14"/>
    <x v="1"/>
    <n v="62100"/>
    <n v="62973.38"/>
    <n v="59926.13"/>
    <n v="62600"/>
    <n v="2631.53"/>
    <s v="Oct"/>
    <s v="BTCUSD"/>
  </r>
  <r>
    <x v="274"/>
    <x v="14"/>
    <x v="1"/>
    <n v="61144.42"/>
    <n v="62552.73"/>
    <n v="58937.03"/>
    <n v="62100"/>
    <n v="929.51"/>
    <s v="Oct"/>
    <s v="BTCUSD"/>
  </r>
  <r>
    <x v="275"/>
    <x v="14"/>
    <x v="1"/>
    <n v="61624.84"/>
    <n v="62366.080000000002"/>
    <n v="60174.14"/>
    <n v="61144.42"/>
    <n v="864.57"/>
    <s v="Oct"/>
    <s v="BTCUSD"/>
  </r>
  <r>
    <x v="53"/>
    <x v="14"/>
    <x v="1"/>
    <n v="59407.55"/>
    <n v="62898"/>
    <n v="58768.79"/>
    <n v="61624.84"/>
    <n v="3069.46"/>
    <s v="Oct"/>
    <s v="BTCUSD"/>
  </r>
  <r>
    <x v="54"/>
    <x v="14"/>
    <x v="1"/>
    <n v="58073.82"/>
    <n v="59450"/>
    <n v="56807.96"/>
    <n v="59407.55"/>
    <n v="1166.8900000000001"/>
    <s v="Oct"/>
    <s v="BTCUSD"/>
  </r>
  <r>
    <x v="55"/>
    <x v="14"/>
    <x v="1"/>
    <n v="56289.06"/>
    <n v="58500.02"/>
    <n v="54250"/>
    <n v="58073.82"/>
    <n v="1574.7"/>
    <s v="Oct"/>
    <s v="BTCUSD"/>
  </r>
  <r>
    <x v="56"/>
    <x v="14"/>
    <x v="1"/>
    <n v="56710"/>
    <n v="57688.88"/>
    <n v="53911.79"/>
    <n v="56289.06"/>
    <n v="1713.92"/>
    <s v="Oct"/>
    <s v="BTCUSD"/>
  </r>
  <r>
    <x v="57"/>
    <x v="14"/>
    <x v="1"/>
    <n v="56520.58"/>
    <n v="58000"/>
    <n v="55838.77"/>
    <n v="56710"/>
    <n v="1027.9100000000001"/>
    <s v="Oct"/>
    <s v="BTCUSD"/>
  </r>
  <r>
    <x v="276"/>
    <x v="14"/>
    <x v="1"/>
    <n v="55043.76"/>
    <n v="56759.01"/>
    <n v="54376.52"/>
    <n v="56520.58"/>
    <n v="1166.24"/>
    <s v="Oct"/>
    <s v="BTCUSD"/>
  </r>
  <r>
    <x v="277"/>
    <x v="14"/>
    <x v="1"/>
    <n v="54588"/>
    <n v="55486.87"/>
    <n v="54115.27"/>
    <n v="55043.76"/>
    <n v="707.72"/>
    <s v="Oct"/>
    <s v="BTCUSD"/>
  </r>
  <r>
    <x v="58"/>
    <x v="14"/>
    <x v="1"/>
    <n v="53826.69"/>
    <n v="56150.58"/>
    <n v="53655"/>
    <n v="54588"/>
    <n v="1485.78"/>
    <s v="Oct"/>
    <s v="BTCUSD"/>
  </r>
  <r>
    <x v="59"/>
    <x v="14"/>
    <x v="1"/>
    <n v="54838.9"/>
    <n v="55231.53"/>
    <n v="53366"/>
    <n v="53826.69"/>
    <n v="1338.83"/>
    <s v="Oct"/>
    <s v="BTCUSD"/>
  </r>
  <r>
    <x v="60"/>
    <x v="14"/>
    <x v="1"/>
    <n v="51561.599999999999"/>
    <n v="55800"/>
    <n v="50410"/>
    <n v="54838.9"/>
    <n v="3288.23"/>
    <s v="Oct"/>
    <s v="BTCUSD"/>
  </r>
  <r>
    <x v="61"/>
    <x v="14"/>
    <x v="1"/>
    <n v="49320.94"/>
    <n v="51927.83"/>
    <n v="49108.3"/>
    <n v="51561.599999999999"/>
    <n v="1691.52"/>
    <s v="Oct"/>
    <s v="BTCUSD"/>
  </r>
  <r>
    <x v="62"/>
    <x v="14"/>
    <x v="1"/>
    <n v="47509.65"/>
    <n v="49789.33"/>
    <n v="46926.68"/>
    <n v="49320.94"/>
    <n v="1755.41"/>
    <s v="Oct"/>
    <s v="BTCUSD"/>
  </r>
  <r>
    <x v="278"/>
    <x v="14"/>
    <x v="1"/>
    <n v="47899.79"/>
    <n v="49259.3"/>
    <n v="47372.35"/>
    <n v="47509.65"/>
    <n v="864.8"/>
    <s v="Oct"/>
    <s v="BTCUSD"/>
  </r>
  <r>
    <x v="279"/>
    <x v="14"/>
    <x v="1"/>
    <n v="47555.51"/>
    <n v="48346.7"/>
    <n v="47144"/>
    <n v="47899.79"/>
    <n v="761.86"/>
    <s v="Oct"/>
    <s v="BTCUSD"/>
  </r>
  <r>
    <x v="63"/>
    <x v="14"/>
    <x v="1"/>
    <n v="43628.160000000003"/>
    <n v="48495.68"/>
    <n v="43472.59"/>
    <n v="47555.51"/>
    <n v="3254.02"/>
    <s v="Oct"/>
    <s v="BTCUSD"/>
  </r>
  <r>
    <x v="64"/>
    <x v="15"/>
    <x v="1"/>
    <n v="43601.2"/>
    <n v="44097.7"/>
    <n v="42702.71"/>
    <n v="43628.160000000003"/>
    <n v="1891.52"/>
    <s v="Sep"/>
    <s v="BTCUSD"/>
  </r>
  <r>
    <x v="65"/>
    <x v="15"/>
    <x v="1"/>
    <n v="42210.47"/>
    <n v="43726.63"/>
    <n v="40908.410000000003"/>
    <n v="43601.2"/>
    <n v="1511.58"/>
    <s v="Sep"/>
    <s v="BTCUSD"/>
  </r>
  <r>
    <x v="66"/>
    <x v="15"/>
    <x v="1"/>
    <n v="42565.16"/>
    <n v="42771.12"/>
    <n v="40764.26"/>
    <n v="42210.47"/>
    <n v="2104.5"/>
    <s v="Sep"/>
    <s v="BTCUSD"/>
  </r>
  <r>
    <x v="67"/>
    <x v="15"/>
    <x v="1"/>
    <n v="44024.27"/>
    <n v="44250.76"/>
    <n v="41980.4"/>
    <n v="42565.16"/>
    <n v="1531.06"/>
    <s v="Sep"/>
    <s v="BTCUSD"/>
  </r>
  <r>
    <x v="280"/>
    <x v="15"/>
    <x v="1"/>
    <n v="42239.94"/>
    <n v="44350"/>
    <n v="40801.19"/>
    <n v="44024.27"/>
    <n v="1395.68"/>
    <s v="Sep"/>
    <s v="BTCUSD"/>
  </r>
  <r>
    <x v="281"/>
    <x v="15"/>
    <x v="1"/>
    <n v="42650"/>
    <n v="42985.06"/>
    <n v="41677.82"/>
    <n v="42239.94"/>
    <n v="1058.07"/>
    <s v="Sep"/>
    <s v="BTCUSD"/>
  </r>
  <r>
    <x v="68"/>
    <x v="15"/>
    <x v="1"/>
    <n v="44301"/>
    <n v="45157.81"/>
    <n v="40696"/>
    <n v="42650"/>
    <n v="4398.2700000000004"/>
    <s v="Sep"/>
    <s v="BTCUSD"/>
  </r>
  <r>
    <x v="69"/>
    <x v="15"/>
    <x v="1"/>
    <n v="44094.55"/>
    <n v="45062.97"/>
    <n v="43389.94"/>
    <n v="44301"/>
    <n v="1699.82"/>
    <s v="Sep"/>
    <s v="BTCUSD"/>
  </r>
  <r>
    <x v="70"/>
    <x v="15"/>
    <x v="1"/>
    <n v="42089.88"/>
    <n v="44231.92"/>
    <n v="41836.589999999997"/>
    <n v="44094.55"/>
    <n v="1238.6099999999999"/>
    <s v="Sep"/>
    <s v="BTCUSD"/>
  </r>
  <r>
    <x v="71"/>
    <x v="15"/>
    <x v="1"/>
    <n v="42688.03"/>
    <n v="43655.53"/>
    <n v="39590"/>
    <n v="42089.88"/>
    <n v="2962.61"/>
    <s v="Sep"/>
    <s v="BTCUSD"/>
  </r>
  <r>
    <x v="72"/>
    <x v="15"/>
    <x v="1"/>
    <n v="45553.62"/>
    <n v="45837.9"/>
    <n v="40137.980000000003"/>
    <n v="42688.03"/>
    <n v="4373.38"/>
    <s v="Sep"/>
    <s v="BTCUSD"/>
  </r>
  <r>
    <x v="282"/>
    <x v="15"/>
    <x v="1"/>
    <n v="47854.23"/>
    <n v="48333.32"/>
    <n v="45175.199999999997"/>
    <n v="45553.62"/>
    <n v="860.71"/>
    <s v="Sep"/>
    <s v="BTCUSD"/>
  </r>
  <r>
    <x v="283"/>
    <x v="15"/>
    <x v="1"/>
    <n v="47962.79"/>
    <n v="48808.97"/>
    <n v="47613.93"/>
    <n v="47854.23"/>
    <n v="671.36"/>
    <s v="Sep"/>
    <s v="BTCUSD"/>
  </r>
  <r>
    <x v="73"/>
    <x v="15"/>
    <x v="1"/>
    <n v="47907"/>
    <n v="48165.96"/>
    <n v="46754.93"/>
    <n v="47962.79"/>
    <n v="1247.3800000000001"/>
    <s v="Sep"/>
    <s v="BTCUSD"/>
  </r>
  <r>
    <x v="74"/>
    <x v="15"/>
    <x v="1"/>
    <n v="47629.1"/>
    <n v="48500"/>
    <n v="47041.24"/>
    <n v="47907"/>
    <n v="1069.57"/>
    <s v="Sep"/>
    <s v="BTCUSD"/>
  </r>
  <r>
    <x v="75"/>
    <x v="15"/>
    <x v="1"/>
    <n v="47101.27"/>
    <n v="48455.16"/>
    <n v="46730.15"/>
    <n v="47629.1"/>
    <n v="1276.6199999999999"/>
    <s v="Sep"/>
    <s v="BTCUSD"/>
  </r>
  <r>
    <x v="76"/>
    <x v="15"/>
    <x v="1"/>
    <n v="45206.43"/>
    <n v="47498.54"/>
    <n v="45067.51"/>
    <n v="47101.27"/>
    <n v="1516.06"/>
    <s v="Sep"/>
    <s v="BTCUSD"/>
  </r>
  <r>
    <x v="77"/>
    <x v="15"/>
    <x v="1"/>
    <n v="44619.12"/>
    <n v="46897"/>
    <n v="43400"/>
    <n v="45206.43"/>
    <n v="2422.25"/>
    <s v="Sep"/>
    <s v="BTCUSD"/>
  </r>
  <r>
    <x v="284"/>
    <x v="15"/>
    <x v="1"/>
    <n v="45311.46"/>
    <n v="46504.62"/>
    <n v="44535.26"/>
    <n v="44619.12"/>
    <n v="893.38"/>
    <s v="Sep"/>
    <s v="BTCUSD"/>
  </r>
  <r>
    <x v="285"/>
    <x v="15"/>
    <x v="1"/>
    <n v="45181.52"/>
    <n v="46001.33"/>
    <n v="44758.59"/>
    <n v="45311.46"/>
    <n v="685.32"/>
    <s v="Sep"/>
    <s v="BTCUSD"/>
  </r>
  <r>
    <x v="78"/>
    <x v="15"/>
    <x v="1"/>
    <n v="46743.4"/>
    <n v="46812.87"/>
    <n v="44156.88"/>
    <n v="45181.52"/>
    <n v="1783.43"/>
    <s v="Sep"/>
    <s v="BTCUSD"/>
  </r>
  <r>
    <x v="79"/>
    <x v="15"/>
    <x v="1"/>
    <n v="46005.27"/>
    <n v="47396.38"/>
    <n v="45651.86"/>
    <n v="46743.4"/>
    <n v="1563.22"/>
    <s v="Sep"/>
    <s v="BTCUSD"/>
  </r>
  <r>
    <x v="80"/>
    <x v="15"/>
    <x v="1"/>
    <n v="46490.38"/>
    <n v="46885.38"/>
    <n v="44419.5"/>
    <n v="46005.27"/>
    <n v="2277.31"/>
    <s v="Sep"/>
    <s v="BTCUSD"/>
  </r>
  <r>
    <x v="81"/>
    <x v="15"/>
    <x v="1"/>
    <n v="52663.45"/>
    <n v="52744.480000000003"/>
    <n v="42600"/>
    <n v="46490.38"/>
    <n v="4513.57"/>
    <s v="Sep"/>
    <s v="BTCUSD"/>
  </r>
  <r>
    <x v="286"/>
    <x v="15"/>
    <x v="1"/>
    <n v="51638.18"/>
    <n v="52938.78"/>
    <n v="51003.37"/>
    <n v="52663.45"/>
    <n v="1408.74"/>
    <s v="Sep"/>
    <s v="BTCUSD"/>
  </r>
  <r>
    <x v="287"/>
    <x v="15"/>
    <x v="1"/>
    <n v="49692.22"/>
    <n v="51962.68"/>
    <n v="49505.43"/>
    <n v="51638.18"/>
    <n v="1231.1400000000001"/>
    <s v="Sep"/>
    <s v="BTCUSD"/>
  </r>
  <r>
    <x v="288"/>
    <x v="15"/>
    <x v="1"/>
    <n v="50292.02"/>
    <n v="50545.41"/>
    <n v="49414.36"/>
    <n v="49692.22"/>
    <n v="1167.1500000000001"/>
    <s v="Sep"/>
    <s v="BTCUSD"/>
  </r>
  <r>
    <x v="82"/>
    <x v="15"/>
    <x v="1"/>
    <n v="49485"/>
    <n v="51046.11"/>
    <n v="49241.34"/>
    <n v="50292.02"/>
    <n v="1114.4000000000001"/>
    <s v="Sep"/>
    <s v="BTCUSD"/>
  </r>
  <r>
    <x v="83"/>
    <x v="15"/>
    <x v="1"/>
    <n v="49596.74"/>
    <n v="50412"/>
    <n v="48358.879999999997"/>
    <n v="49485"/>
    <n v="885.44"/>
    <s v="Sep"/>
    <s v="BTCUSD"/>
  </r>
  <r>
    <x v="84"/>
    <x v="15"/>
    <x v="1"/>
    <n v="47052.84"/>
    <n v="49935.09"/>
    <n v="46980.44"/>
    <n v="49596.74"/>
    <n v="1105.1400000000001"/>
    <s v="Sep"/>
    <s v="BTCUSD"/>
  </r>
  <r>
    <x v="85"/>
    <x v="16"/>
    <x v="1"/>
    <n v="47151.91"/>
    <n v="48261.59"/>
    <n v="46524.71"/>
    <n v="47052.84"/>
    <n v="1019.19"/>
    <s v="Aug"/>
    <s v="BTCUSD"/>
  </r>
  <r>
    <x v="86"/>
    <x v="16"/>
    <x v="1"/>
    <n v="47989.58"/>
    <n v="48735.71"/>
    <n v="46717.24"/>
    <n v="47151.91"/>
    <n v="933.28"/>
    <s v="Aug"/>
    <s v="BTCUSD"/>
  </r>
  <r>
    <x v="289"/>
    <x v="16"/>
    <x v="1"/>
    <n v="48267.19"/>
    <n v="49408.07"/>
    <n v="47800"/>
    <n v="47989.58"/>
    <n v="446.77"/>
    <s v="Aug"/>
    <s v="BTCUSD"/>
  </r>
  <r>
    <x v="290"/>
    <x v="16"/>
    <x v="1"/>
    <n v="48900.01"/>
    <n v="49650"/>
    <n v="48107.99"/>
    <n v="48267.19"/>
    <n v="544.26"/>
    <s v="Aug"/>
    <s v="BTCUSD"/>
  </r>
  <r>
    <x v="87"/>
    <x v="16"/>
    <x v="1"/>
    <n v="46845.94"/>
    <n v="49313.26"/>
    <n v="46603.360000000001"/>
    <n v="48900.01"/>
    <n v="1383.21"/>
    <s v="Aug"/>
    <s v="BTCUSD"/>
  </r>
  <r>
    <x v="88"/>
    <x v="16"/>
    <x v="1"/>
    <n v="47931"/>
    <n v="48053.14"/>
    <n v="46287.63"/>
    <n v="46845.94"/>
    <n v="2205"/>
    <s v="Aug"/>
    <s v="BTCUSD"/>
  </r>
  <r>
    <x v="89"/>
    <x v="16"/>
    <x v="1"/>
    <n v="47995.78"/>
    <n v="49365.42"/>
    <n v="47112.12"/>
    <n v="47931"/>
    <n v="1666.41"/>
    <s v="Aug"/>
    <s v="BTCUSD"/>
  </r>
  <r>
    <x v="90"/>
    <x v="16"/>
    <x v="1"/>
    <n v="49350"/>
    <n v="49867.71"/>
    <n v="47614.3"/>
    <n v="47995.78"/>
    <n v="1369.87"/>
    <s v="Aug"/>
    <s v="BTCUSD"/>
  </r>
  <r>
    <x v="91"/>
    <x v="16"/>
    <x v="1"/>
    <n v="50289.05"/>
    <n v="50517.99"/>
    <n v="48800"/>
    <n v="49350"/>
    <n v="1051.6600000000001"/>
    <s v="Aug"/>
    <s v="BTCUSD"/>
  </r>
  <r>
    <x v="291"/>
    <x v="16"/>
    <x v="1"/>
    <n v="48837.62"/>
    <n v="50540.19"/>
    <n v="48071.03"/>
    <n v="50289.05"/>
    <n v="974.81"/>
    <s v="Aug"/>
    <s v="BTCUSD"/>
  </r>
  <r>
    <x v="292"/>
    <x v="16"/>
    <x v="1"/>
    <n v="48839.62"/>
    <n v="49812.54"/>
    <n v="48281.42"/>
    <n v="48837.62"/>
    <n v="1213.1099999999999"/>
    <s v="Aug"/>
    <s v="BTCUSD"/>
  </r>
  <r>
    <x v="92"/>
    <x v="16"/>
    <x v="1"/>
    <n v="47042.28"/>
    <n v="49400"/>
    <n v="46714.57"/>
    <n v="48839.62"/>
    <n v="1328.32"/>
    <s v="Aug"/>
    <s v="BTCUSD"/>
  </r>
  <r>
    <x v="93"/>
    <x v="16"/>
    <x v="1"/>
    <n v="44074.77"/>
    <n v="47424.13"/>
    <n v="43902.53"/>
    <n v="47042.28"/>
    <n v="1566"/>
    <s v="Aug"/>
    <s v="BTCUSD"/>
  </r>
  <r>
    <x v="94"/>
    <x v="16"/>
    <x v="1"/>
    <n v="45078.79"/>
    <n v="46031"/>
    <n v="44055"/>
    <n v="44074.77"/>
    <n v="1324.73"/>
    <s v="Aug"/>
    <s v="BTCUSD"/>
  </r>
  <r>
    <x v="95"/>
    <x v="16"/>
    <x v="1"/>
    <n v="46435.44"/>
    <n v="47162.94"/>
    <n v="44211.13"/>
    <n v="45078.79"/>
    <n v="2149.38"/>
    <s v="Aug"/>
    <s v="BTCUSD"/>
  </r>
  <r>
    <x v="96"/>
    <x v="16"/>
    <x v="1"/>
    <n v="47400.89"/>
    <n v="47744.5"/>
    <n v="45250.51"/>
    <n v="46435.44"/>
    <n v="1687.08"/>
    <s v="Aug"/>
    <s v="BTCUSD"/>
  </r>
  <r>
    <x v="293"/>
    <x v="16"/>
    <x v="1"/>
    <n v="46910.99"/>
    <n v="48044.25"/>
    <n v="45509.51"/>
    <n v="47400.89"/>
    <n v="1360.76"/>
    <s v="Aug"/>
    <s v="BTCUSD"/>
  </r>
  <r>
    <x v="294"/>
    <x v="16"/>
    <x v="1"/>
    <n v="47571.64"/>
    <n v="48181.51"/>
    <n v="46045.86"/>
    <n v="46910.99"/>
    <n v="1112.0899999999999"/>
    <s v="Aug"/>
    <s v="BTCUSD"/>
  </r>
  <r>
    <x v="97"/>
    <x v="16"/>
    <x v="1"/>
    <n v="45205.46"/>
    <n v="47900"/>
    <n v="44952.59"/>
    <n v="47571.64"/>
    <n v="1609.57"/>
    <s v="Aug"/>
    <s v="BTCUSD"/>
  </r>
  <r>
    <x v="98"/>
    <x v="16"/>
    <x v="1"/>
    <n v="45948.06"/>
    <n v="46023.08"/>
    <n v="43800"/>
    <n v="45205.46"/>
    <n v="1840.77"/>
    <s v="Aug"/>
    <s v="BTCUSD"/>
  </r>
  <r>
    <x v="99"/>
    <x v="16"/>
    <x v="1"/>
    <n v="45594.16"/>
    <n v="46775"/>
    <n v="45426.58"/>
    <n v="45948.06"/>
    <n v="1565.84"/>
    <s v="Aug"/>
    <s v="BTCUSD"/>
  </r>
  <r>
    <x v="100"/>
    <x v="16"/>
    <x v="1"/>
    <n v="45727.39"/>
    <n v="46183.47"/>
    <n v="44642.21"/>
    <n v="45594.16"/>
    <n v="1768.99"/>
    <s v="Aug"/>
    <s v="BTCUSD"/>
  </r>
  <r>
    <x v="101"/>
    <x v="16"/>
    <x v="1"/>
    <n v="43529.34"/>
    <n v="46729.86"/>
    <n v="43295.22"/>
    <n v="45727.39"/>
    <n v="3092.3"/>
    <s v="Aug"/>
    <s v="BTCUSD"/>
  </r>
  <r>
    <x v="295"/>
    <x v="16"/>
    <x v="1"/>
    <n v="44391.34"/>
    <n v="45386.81"/>
    <n v="42813.74"/>
    <n v="43529.34"/>
    <n v="2023.49"/>
    <s v="Aug"/>
    <s v="BTCUSD"/>
  </r>
  <r>
    <x v="296"/>
    <x v="16"/>
    <x v="1"/>
    <n v="43720"/>
    <n v="44837.59"/>
    <n v="42460"/>
    <n v="44391.34"/>
    <n v="3336.16"/>
    <s v="Aug"/>
    <s v="BTCUSD"/>
  </r>
  <r>
    <x v="102"/>
    <x v="16"/>
    <x v="1"/>
    <n v="40250.79"/>
    <n v="43792.42"/>
    <n v="39897.39"/>
    <n v="43720"/>
    <n v="2238.33"/>
    <s v="Aug"/>
    <s v="BTCUSD"/>
  </r>
  <r>
    <x v="103"/>
    <x v="16"/>
    <x v="1"/>
    <n v="39440.620000000003"/>
    <n v="41431.18"/>
    <n v="37311.06"/>
    <n v="40250.79"/>
    <n v="3715.5"/>
    <s v="Aug"/>
    <s v="BTCUSD"/>
  </r>
  <r>
    <x v="104"/>
    <x v="16"/>
    <x v="1"/>
    <n v="37962.25"/>
    <n v="39973.96"/>
    <n v="37472.15"/>
    <n v="39440.620000000003"/>
    <n v="1911.35"/>
    <s v="Aug"/>
    <s v="BTCUSD"/>
  </r>
  <r>
    <x v="105"/>
    <x v="16"/>
    <x v="1"/>
    <n v="38650"/>
    <n v="38824.81"/>
    <n v="37558.089999999997"/>
    <n v="37962.25"/>
    <n v="2750.52"/>
    <s v="Aug"/>
    <s v="BTCUSD"/>
  </r>
  <r>
    <x v="106"/>
    <x v="16"/>
    <x v="1"/>
    <n v="39811.54"/>
    <n v="40446.58"/>
    <n v="38515"/>
    <n v="38650"/>
    <n v="1815.1"/>
    <s v="Aug"/>
    <s v="BTCUSD"/>
  </r>
  <r>
    <x v="297"/>
    <x v="16"/>
    <x v="1"/>
    <n v="42461.13"/>
    <n v="42475.28"/>
    <n v="39213.050000000003"/>
    <n v="39811.54"/>
    <n v="1237.92"/>
    <s v="Aug"/>
    <s v="BTCUSD"/>
  </r>
  <r>
    <x v="298"/>
    <x v="17"/>
    <x v="1"/>
    <n v="41840.36"/>
    <n v="42600"/>
    <n v="41072.589999999997"/>
    <n v="42461.13"/>
    <n v="687.36"/>
    <s v="Jul"/>
    <s v="BTCUSD"/>
  </r>
  <r>
    <x v="107"/>
    <x v="17"/>
    <x v="1"/>
    <n v="39982.79"/>
    <n v="42400"/>
    <n v="38350"/>
    <n v="41840.36"/>
    <n v="2600.84"/>
    <s v="Jul"/>
    <s v="BTCUSD"/>
  </r>
  <r>
    <x v="108"/>
    <x v="17"/>
    <x v="1"/>
    <n v="39638.769999999997"/>
    <n v="40639.14"/>
    <n v="39409.4"/>
    <n v="39982.79"/>
    <n v="1561.72"/>
    <s v="Jul"/>
    <s v="BTCUSD"/>
  </r>
  <r>
    <x v="109"/>
    <x v="17"/>
    <x v="1"/>
    <n v="39848.44"/>
    <n v="40928.46"/>
    <n v="38803.47"/>
    <n v="39638.769999999997"/>
    <n v="3682.36"/>
    <s v="Jul"/>
    <s v="BTCUSD"/>
  </r>
  <r>
    <x v="110"/>
    <x v="17"/>
    <x v="1"/>
    <n v="36851.519999999997"/>
    <n v="40366.57"/>
    <n v="36713.129999999997"/>
    <n v="39848.44"/>
    <n v="5729.11"/>
    <s v="Jul"/>
    <s v="BTCUSD"/>
  </r>
  <r>
    <x v="111"/>
    <x v="17"/>
    <x v="1"/>
    <n v="38312.57"/>
    <n v="40572.449999999997"/>
    <n v="36400"/>
    <n v="36851.519999999997"/>
    <n v="5021.1099999999997"/>
    <s v="Jul"/>
    <s v="BTCUSD"/>
  </r>
  <r>
    <x v="299"/>
    <x v="17"/>
    <x v="1"/>
    <n v="34192.14"/>
    <n v="39782.93"/>
    <n v="33894.22"/>
    <n v="38312.57"/>
    <n v="3558.08"/>
    <s v="Jul"/>
    <s v="BTCUSD"/>
  </r>
  <r>
    <x v="300"/>
    <x v="17"/>
    <x v="1"/>
    <n v="33689.58"/>
    <n v="34525.5"/>
    <n v="33582.400000000001"/>
    <n v="34192.14"/>
    <n v="785.46"/>
    <s v="Jul"/>
    <s v="BTCUSD"/>
  </r>
  <r>
    <x v="112"/>
    <x v="17"/>
    <x v="1"/>
    <n v="32598.43"/>
    <n v="33800"/>
    <n v="32000"/>
    <n v="33689.58"/>
    <n v="1319.58"/>
    <s v="Jul"/>
    <s v="BTCUSD"/>
  </r>
  <r>
    <x v="113"/>
    <x v="17"/>
    <x v="1"/>
    <n v="31947.52"/>
    <n v="32806.46"/>
    <n v="31732.34"/>
    <n v="32598.43"/>
    <n v="1223.0999999999999"/>
    <s v="Jul"/>
    <s v="BTCUSD"/>
  </r>
  <r>
    <x v="114"/>
    <x v="17"/>
    <x v="1"/>
    <n v="29853.86"/>
    <n v="32950"/>
    <n v="29853.86"/>
    <n v="31947.52"/>
    <n v="3023.28"/>
    <s v="Jul"/>
    <s v="BTCUSD"/>
  </r>
  <r>
    <x v="115"/>
    <x v="17"/>
    <x v="1"/>
    <n v="29605.35"/>
    <n v="30005.72"/>
    <n v="29284.35"/>
    <n v="29853.86"/>
    <n v="2075.2800000000002"/>
    <s v="Jul"/>
    <s v="BTCUSD"/>
  </r>
  <r>
    <x v="116"/>
    <x v="17"/>
    <x v="1"/>
    <n v="31547.22"/>
    <n v="31890.59"/>
    <n v="29500"/>
    <n v="29605.35"/>
    <n v="2184.44"/>
    <s v="Jul"/>
    <s v="BTCUSD"/>
  </r>
  <r>
    <x v="301"/>
    <x v="17"/>
    <x v="1"/>
    <n v="32169.82"/>
    <n v="32200.55"/>
    <n v="31123"/>
    <n v="31547.22"/>
    <n v="572.89"/>
    <s v="Jul"/>
    <s v="BTCUSD"/>
  </r>
  <r>
    <x v="302"/>
    <x v="17"/>
    <x v="1"/>
    <n v="31313.83"/>
    <n v="32437.07"/>
    <n v="31206.23"/>
    <n v="32169.82"/>
    <n v="765.31"/>
    <s v="Jul"/>
    <s v="BTCUSD"/>
  </r>
  <r>
    <x v="117"/>
    <x v="17"/>
    <x v="1"/>
    <n v="31924.93"/>
    <n v="32252.21"/>
    <n v="31027.01"/>
    <n v="31313.83"/>
    <n v="1355.02"/>
    <s v="Jul"/>
    <s v="BTCUSD"/>
  </r>
  <r>
    <x v="118"/>
    <x v="17"/>
    <x v="1"/>
    <n v="32671.54"/>
    <n v="32691.72"/>
    <n v="31135"/>
    <n v="31924.93"/>
    <n v="1534.41"/>
    <s v="Jul"/>
    <s v="BTCUSD"/>
  </r>
  <r>
    <x v="119"/>
    <x v="17"/>
    <x v="1"/>
    <n v="31853.69"/>
    <n v="33189.99"/>
    <n v="31601.59"/>
    <n v="32671.54"/>
    <n v="1083.1199999999999"/>
    <s v="Jul"/>
    <s v="BTCUSD"/>
  </r>
  <r>
    <x v="120"/>
    <x v="17"/>
    <x v="1"/>
    <n v="33087.26"/>
    <n v="33334.71"/>
    <n v="31661.01"/>
    <n v="31853.69"/>
    <n v="1282.07"/>
    <s v="Jul"/>
    <s v="BTCUSD"/>
  </r>
  <r>
    <x v="121"/>
    <x v="17"/>
    <x v="1"/>
    <n v="34452.39"/>
    <n v="34670.21"/>
    <n v="32669.89"/>
    <n v="33087.26"/>
    <n v="1322.29"/>
    <s v="Jul"/>
    <s v="BTCUSD"/>
  </r>
  <r>
    <x v="303"/>
    <x v="17"/>
    <x v="1"/>
    <n v="33420.839999999997"/>
    <n v="34602"/>
    <n v="33333.01"/>
    <n v="34452.39"/>
    <n v="816.86"/>
    <s v="Jul"/>
    <s v="BTCUSD"/>
  </r>
  <r>
    <x v="304"/>
    <x v="17"/>
    <x v="1"/>
    <n v="33799.81"/>
    <n v="34195.26"/>
    <n v="33046"/>
    <n v="33420.839999999997"/>
    <n v="803.55"/>
    <s v="Jul"/>
    <s v="BTCUSD"/>
  </r>
  <r>
    <x v="122"/>
    <x v="17"/>
    <x v="1"/>
    <n v="32954.75"/>
    <n v="34262.53"/>
    <n v="32625.74"/>
    <n v="33799.81"/>
    <n v="1273.26"/>
    <s v="Jul"/>
    <s v="BTCUSD"/>
  </r>
  <r>
    <x v="123"/>
    <x v="17"/>
    <x v="1"/>
    <n v="33337"/>
    <n v="33493.24"/>
    <n v="32101"/>
    <n v="32954.75"/>
    <n v="2063.0100000000002"/>
    <s v="Jul"/>
    <s v="BTCUSD"/>
  </r>
  <r>
    <x v="124"/>
    <x v="17"/>
    <x v="1"/>
    <n v="34465.35"/>
    <n v="35098.28"/>
    <n v="33094.639999999999"/>
    <n v="33337"/>
    <n v="1485.76"/>
    <s v="Jul"/>
    <s v="BTCUSD"/>
  </r>
  <r>
    <x v="125"/>
    <x v="17"/>
    <x v="1"/>
    <n v="33942.22"/>
    <n v="35114.32"/>
    <n v="33530.400000000001"/>
    <n v="34465.35"/>
    <n v="2039.5"/>
    <s v="Jul"/>
    <s v="BTCUSD"/>
  </r>
  <r>
    <x v="305"/>
    <x v="17"/>
    <x v="1"/>
    <n v="34360.839999999997"/>
    <n v="34559.72"/>
    <n v="33100"/>
    <n v="33942.22"/>
    <n v="1323.66"/>
    <s v="Jul"/>
    <s v="BTCUSD"/>
  </r>
  <r>
    <x v="306"/>
    <x v="17"/>
    <x v="1"/>
    <n v="34670"/>
    <n v="35985.71"/>
    <n v="34211.29"/>
    <n v="34360.839999999997"/>
    <n v="1073.5999999999999"/>
    <s v="Jul"/>
    <s v="BTCUSD"/>
  </r>
  <r>
    <x v="307"/>
    <x v="17"/>
    <x v="1"/>
    <n v="33540.480000000003"/>
    <n v="34942.559999999998"/>
    <n v="33466.620000000003"/>
    <n v="34670"/>
    <n v="647.92999999999995"/>
    <s v="Jul"/>
    <s v="BTCUSD"/>
  </r>
  <r>
    <x v="126"/>
    <x v="17"/>
    <x v="1"/>
    <n v="32933.440000000002"/>
    <n v="33926.449999999997"/>
    <n v="32700"/>
    <n v="33540.480000000003"/>
    <n v="1321.23"/>
    <s v="Jul"/>
    <s v="BTCUSD"/>
  </r>
  <r>
    <x v="127"/>
    <x v="17"/>
    <x v="1"/>
    <n v="34132.04"/>
    <n v="34475.550000000003"/>
    <n v="32722.69"/>
    <n v="32933.440000000002"/>
    <n v="2240.46"/>
    <s v="Jul"/>
    <s v="BTCUSD"/>
  </r>
  <r>
    <x v="128"/>
    <x v="18"/>
    <x v="1"/>
    <n v="35095.440000000002"/>
    <n v="35333.25"/>
    <n v="34050"/>
    <n v="34132.04"/>
    <n v="2031.63"/>
    <s v="Jun"/>
    <s v="BTCUSD"/>
  </r>
  <r>
    <x v="129"/>
    <x v="18"/>
    <x v="1"/>
    <n v="34591.620000000003"/>
    <n v="36661.800000000003"/>
    <n v="34556.07"/>
    <n v="35095.440000000002"/>
    <n v="3012.66"/>
    <s v="Jun"/>
    <s v="BTCUSD"/>
  </r>
  <r>
    <x v="130"/>
    <x v="18"/>
    <x v="1"/>
    <n v="34388.620000000003"/>
    <n v="35286.03"/>
    <n v="33885.15"/>
    <n v="34591.620000000003"/>
    <n v="2923.54"/>
    <s v="Jun"/>
    <s v="BTCUSD"/>
  </r>
  <r>
    <x v="308"/>
    <x v="18"/>
    <x v="1"/>
    <n v="33149.18"/>
    <n v="34983.42"/>
    <n v="32374.05"/>
    <n v="34388.620000000003"/>
    <n v="2229.39"/>
    <s v="Jun"/>
    <s v="BTCUSD"/>
  </r>
  <r>
    <x v="309"/>
    <x v="18"/>
    <x v="1"/>
    <n v="31983.86"/>
    <n v="33209.589999999997"/>
    <n v="30142.68"/>
    <n v="33149.18"/>
    <n v="3583.91"/>
    <s v="Jun"/>
    <s v="BTCUSD"/>
  </r>
  <r>
    <x v="131"/>
    <x v="18"/>
    <x v="1"/>
    <n v="35100"/>
    <n v="35100"/>
    <n v="31303.71"/>
    <n v="31983.86"/>
    <n v="3682.14"/>
    <s v="Jun"/>
    <s v="BTCUSD"/>
  </r>
  <r>
    <x v="132"/>
    <x v="18"/>
    <x v="1"/>
    <n v="32606.959999999999"/>
    <n v="35274.9"/>
    <n v="32315.01"/>
    <n v="35100"/>
    <n v="2257.34"/>
    <s v="Jun"/>
    <s v="BTCUSD"/>
  </r>
  <r>
    <x v="133"/>
    <x v="18"/>
    <x v="1"/>
    <n v="33992.879999999997"/>
    <n v="34851.199999999997"/>
    <n v="32355.040000000001"/>
    <n v="32606.959999999999"/>
    <n v="3413.98"/>
    <s v="Jun"/>
    <s v="BTCUSD"/>
  </r>
  <r>
    <x v="134"/>
    <x v="18"/>
    <x v="1"/>
    <n v="33029.769999999997"/>
    <n v="34392.050000000003"/>
    <n v="28801"/>
    <n v="33992.879999999997"/>
    <n v="10036.629999999999"/>
    <s v="Jun"/>
    <s v="BTCUSD"/>
  </r>
  <r>
    <x v="135"/>
    <x v="18"/>
    <x v="1"/>
    <n v="34629.879999999997"/>
    <n v="34702.68"/>
    <n v="31176.42"/>
    <n v="33029.769999999997"/>
    <n v="7153.94"/>
    <s v="Jun"/>
    <s v="BTCUSD"/>
  </r>
  <r>
    <x v="310"/>
    <x v="18"/>
    <x v="1"/>
    <n v="35520.660000000003"/>
    <n v="36128.129999999997"/>
    <n v="33333.01"/>
    <n v="34629.879999999997"/>
    <n v="2816.74"/>
    <s v="Jun"/>
    <s v="BTCUSD"/>
  </r>
  <r>
    <x v="311"/>
    <x v="18"/>
    <x v="1"/>
    <n v="35129.230000000003"/>
    <n v="36464.629999999997"/>
    <n v="34970.25"/>
    <n v="35520.660000000003"/>
    <n v="1611.01"/>
    <s v="Jun"/>
    <s v="BTCUSD"/>
  </r>
  <r>
    <x v="136"/>
    <x v="18"/>
    <x v="1"/>
    <n v="37938.199999999997"/>
    <n v="38129.089999999997"/>
    <n v="34845.33"/>
    <n v="35129.230000000003"/>
    <n v="2958.68"/>
    <s v="Jun"/>
    <s v="BTCUSD"/>
  </r>
  <r>
    <x v="137"/>
    <x v="18"/>
    <x v="1"/>
    <n v="38875"/>
    <n v="39575.03"/>
    <n v="37221.620000000003"/>
    <n v="37938.199999999997"/>
    <n v="2524.23"/>
    <s v="Jun"/>
    <s v="BTCUSD"/>
  </r>
  <r>
    <x v="138"/>
    <x v="18"/>
    <x v="1"/>
    <n v="40043.69"/>
    <n v="40490.019999999997"/>
    <n v="38059.01"/>
    <n v="38875"/>
    <n v="2783.6"/>
    <s v="Jun"/>
    <s v="BTCUSD"/>
  </r>
  <r>
    <x v="139"/>
    <x v="18"/>
    <x v="1"/>
    <n v="40429.379999999997"/>
    <n v="41380.019999999997"/>
    <n v="39503.9"/>
    <n v="40043.69"/>
    <n v="2687.61"/>
    <s v="Jun"/>
    <s v="BTCUSD"/>
  </r>
  <r>
    <x v="140"/>
    <x v="18"/>
    <x v="1"/>
    <n v="38988.5"/>
    <n v="41060.769999999997"/>
    <n v="38807.5"/>
    <n v="40429.379999999997"/>
    <n v="2719.45"/>
    <s v="Jun"/>
    <s v="BTCUSD"/>
  </r>
  <r>
    <x v="312"/>
    <x v="18"/>
    <x v="1"/>
    <n v="34877.300000000003"/>
    <n v="39816.720000000001"/>
    <n v="34792.660000000003"/>
    <n v="38988.5"/>
    <n v="2406.83"/>
    <s v="Jun"/>
    <s v="BTCUSD"/>
  </r>
  <r>
    <x v="313"/>
    <x v="18"/>
    <x v="1"/>
    <n v="35591.29"/>
    <n v="36222.800000000003"/>
    <n v="34655.99"/>
    <n v="34877.300000000003"/>
    <n v="1298.1600000000001"/>
    <s v="Jun"/>
    <s v="BTCUSD"/>
  </r>
  <r>
    <x v="141"/>
    <x v="18"/>
    <x v="1"/>
    <n v="36784.370000000003"/>
    <n v="37690"/>
    <n v="35307.69"/>
    <n v="35591.29"/>
    <n v="2027.8"/>
    <s v="Jun"/>
    <s v="BTCUSD"/>
  </r>
  <r>
    <x v="142"/>
    <x v="18"/>
    <x v="1"/>
    <n v="36982.83"/>
    <n v="38437.019999999997"/>
    <n v="35819.67"/>
    <n v="36784.370000000003"/>
    <n v="2959.52"/>
    <s v="Jun"/>
    <s v="BTCUSD"/>
  </r>
  <r>
    <x v="143"/>
    <x v="18"/>
    <x v="1"/>
    <n v="32898.06"/>
    <n v="37676.6"/>
    <n v="32575.84"/>
    <n v="36982.83"/>
    <n v="4190.37"/>
    <s v="Jun"/>
    <s v="BTCUSD"/>
  </r>
  <r>
    <x v="144"/>
    <x v="18"/>
    <x v="1"/>
    <n v="32843.15"/>
    <n v="33841.46"/>
    <n v="31000.01"/>
    <n v="32898.06"/>
    <n v="5149.1899999999996"/>
    <s v="Jun"/>
    <s v="BTCUSD"/>
  </r>
  <r>
    <x v="145"/>
    <x v="18"/>
    <x v="1"/>
    <n v="36397.5"/>
    <n v="36798.03"/>
    <n v="32400.01"/>
    <n v="32843.15"/>
    <n v="3518.6"/>
    <s v="Jun"/>
    <s v="BTCUSD"/>
  </r>
  <r>
    <x v="314"/>
    <x v="18"/>
    <x v="1"/>
    <n v="36025.160000000003"/>
    <n v="36812.089999999997"/>
    <n v="35259.980000000003"/>
    <n v="36397.5"/>
    <n v="1007.72"/>
    <s v="Jun"/>
    <s v="BTCUSD"/>
  </r>
  <r>
    <x v="315"/>
    <x v="18"/>
    <x v="1"/>
    <n v="37419.82"/>
    <n v="37918.57"/>
    <n v="34820"/>
    <n v="36025.160000000003"/>
    <n v="2454.4299999999998"/>
    <s v="Jun"/>
    <s v="BTCUSD"/>
  </r>
  <r>
    <x v="146"/>
    <x v="18"/>
    <x v="1"/>
    <n v="37963.61"/>
    <n v="37963.61"/>
    <n v="35580.82"/>
    <n v="37419.82"/>
    <n v="2300.7600000000002"/>
    <s v="Jun"/>
    <s v="BTCUSD"/>
  </r>
  <r>
    <x v="147"/>
    <x v="18"/>
    <x v="1"/>
    <n v="37655.54"/>
    <n v="39487.910000000003"/>
    <n v="37400"/>
    <n v="37963.61"/>
    <n v="1786.28"/>
    <s v="Jun"/>
    <s v="BTCUSD"/>
  </r>
  <r>
    <x v="148"/>
    <x v="18"/>
    <x v="1"/>
    <n v="36483.57"/>
    <n v="38256.400000000001"/>
    <n v="36478.97"/>
    <n v="37655.54"/>
    <n v="1612.75"/>
    <s v="Jun"/>
    <s v="BTCUSD"/>
  </r>
  <r>
    <x v="149"/>
    <x v="18"/>
    <x v="1"/>
    <n v="36702.879999999997"/>
    <n v="37448.019999999997"/>
    <n v="35687"/>
    <n v="36483.57"/>
    <n v="2347.2600000000002"/>
    <s v="Jun"/>
    <s v="BTCUSD"/>
  </r>
  <r>
    <x v="316"/>
    <x v="7"/>
    <x v="1"/>
    <n v="34536.71"/>
    <n v="37912.870000000003"/>
    <n v="34200"/>
    <n v="36702.879999999997"/>
    <n v="1649.4"/>
    <s v="May"/>
    <s v="BTCUSD"/>
  </r>
  <r>
    <x v="317"/>
    <x v="7"/>
    <x v="1"/>
    <n v="34805.29"/>
    <n v="36523.24"/>
    <n v="34298.01"/>
    <n v="34536.71"/>
    <n v="1562.38"/>
    <s v="May"/>
    <s v="BTCUSD"/>
  </r>
  <r>
    <x v="318"/>
    <x v="7"/>
    <x v="1"/>
    <n v="36503.31"/>
    <n v="37320"/>
    <n v="33410.29"/>
    <n v="34805.29"/>
    <n v="2212.16"/>
    <s v="May"/>
    <s v="BTCUSD"/>
  </r>
  <r>
    <x v="150"/>
    <x v="7"/>
    <x v="1"/>
    <n v="38271.589999999997"/>
    <n v="38271.589999999997"/>
    <n v="34558"/>
    <n v="36503.31"/>
    <n v="3541.35"/>
    <s v="May"/>
    <s v="BTCUSD"/>
  </r>
  <r>
    <x v="151"/>
    <x v="7"/>
    <x v="1"/>
    <n v="37672.47"/>
    <n v="40432.400000000001"/>
    <n v="37302.06"/>
    <n v="38271.589999999997"/>
    <n v="2140.75"/>
    <s v="May"/>
    <s v="BTCUSD"/>
  </r>
  <r>
    <x v="152"/>
    <x v="7"/>
    <x v="1"/>
    <n v="39572.33"/>
    <n v="40861.199999999997"/>
    <n v="37117.089999999997"/>
    <n v="37672.47"/>
    <n v="3101.07"/>
    <s v="May"/>
    <s v="BTCUSD"/>
  </r>
  <r>
    <x v="153"/>
    <x v="7"/>
    <x v="1"/>
    <n v="38388.089999999997"/>
    <n v="39760.959999999999"/>
    <n v="36489.42"/>
    <n v="39572.33"/>
    <n v="2909.35"/>
    <s v="May"/>
    <s v="BTCUSD"/>
  </r>
  <r>
    <x v="154"/>
    <x v="7"/>
    <x v="1"/>
    <n v="35318.86"/>
    <n v="39953.65"/>
    <n v="34426.410000000003"/>
    <n v="38388.089999999997"/>
    <n v="4706.08"/>
    <s v="May"/>
    <s v="BTCUSD"/>
  </r>
  <r>
    <x v="319"/>
    <x v="7"/>
    <x v="1"/>
    <n v="37484.18"/>
    <n v="37484.18"/>
    <n v="31104.14"/>
    <n v="35318.86"/>
    <n v="7143.1"/>
    <s v="May"/>
    <s v="BTCUSD"/>
  </r>
  <r>
    <x v="320"/>
    <x v="7"/>
    <x v="1"/>
    <n v="36963.519999999997"/>
    <n v="38861.15"/>
    <n v="35272.089999999997"/>
    <n v="37484.18"/>
    <n v="2418.86"/>
    <s v="May"/>
    <s v="BTCUSD"/>
  </r>
  <r>
    <x v="155"/>
    <x v="7"/>
    <x v="1"/>
    <n v="40773.519999999997"/>
    <n v="41796.74"/>
    <n v="33500"/>
    <n v="36963.519999999997"/>
    <n v="7491.23"/>
    <s v="May"/>
    <s v="BTCUSD"/>
  </r>
  <r>
    <x v="156"/>
    <x v="7"/>
    <x v="1"/>
    <n v="38411.14"/>
    <n v="42625.43"/>
    <n v="38200"/>
    <n v="40773.519999999997"/>
    <n v="4981.3900000000003"/>
    <s v="May"/>
    <s v="BTCUSD"/>
  </r>
  <r>
    <x v="157"/>
    <x v="7"/>
    <x v="1"/>
    <n v="40570.980000000003"/>
    <n v="40867.4"/>
    <n v="28700"/>
    <n v="38411.14"/>
    <n v="18000.98"/>
    <s v="May"/>
    <s v="BTCUSD"/>
  </r>
  <r>
    <x v="158"/>
    <x v="7"/>
    <x v="1"/>
    <n v="44824.75"/>
    <n v="45860.17"/>
    <n v="40118"/>
    <n v="40570.980000000003"/>
    <n v="4778.04"/>
    <s v="May"/>
    <s v="BTCUSD"/>
  </r>
  <r>
    <x v="159"/>
    <x v="7"/>
    <x v="1"/>
    <n v="42902.09"/>
    <n v="45833.48"/>
    <n v="42080"/>
    <n v="44824.75"/>
    <n v="5764.37"/>
    <s v="May"/>
    <s v="BTCUSD"/>
  </r>
  <r>
    <x v="321"/>
    <x v="7"/>
    <x v="1"/>
    <n v="48383.6"/>
    <n v="49790"/>
    <n v="42793"/>
    <n v="42902.09"/>
    <n v="3937.04"/>
    <s v="May"/>
    <s v="BTCUSD"/>
  </r>
  <r>
    <x v="322"/>
    <x v="7"/>
    <x v="1"/>
    <n v="49670.85"/>
    <n v="49900"/>
    <n v="46500"/>
    <n v="48383.6"/>
    <n v="1938.26"/>
    <s v="May"/>
    <s v="BTCUSD"/>
  </r>
  <r>
    <x v="160"/>
    <x v="7"/>
    <x v="1"/>
    <n v="49221.07"/>
    <n v="51575.16"/>
    <n v="48894.79"/>
    <n v="49670.85"/>
    <n v="2001.31"/>
    <s v="May"/>
    <s v="BTCUSD"/>
  </r>
  <r>
    <x v="161"/>
    <x v="7"/>
    <x v="1"/>
    <n v="50493.11"/>
    <n v="51389.95"/>
    <n v="46962.39"/>
    <n v="49221.07"/>
    <n v="4250.47"/>
    <s v="May"/>
    <s v="BTCUSD"/>
  </r>
  <r>
    <x v="162"/>
    <x v="7"/>
    <x v="1"/>
    <n v="57820"/>
    <n v="57998.26"/>
    <n v="45000"/>
    <n v="50493.11"/>
    <n v="6438.29"/>
    <s v="May"/>
    <s v="BTCUSD"/>
  </r>
  <r>
    <x v="163"/>
    <x v="7"/>
    <x v="1"/>
    <n v="55194.75"/>
    <n v="57898"/>
    <n v="54684"/>
    <n v="57820"/>
    <n v="1432.56"/>
    <s v="May"/>
    <s v="BTCUSD"/>
  </r>
  <r>
    <x v="164"/>
    <x v="7"/>
    <x v="1"/>
    <n v="59407.78"/>
    <n v="59584.99"/>
    <n v="53434.31"/>
    <n v="55194.75"/>
    <n v="2583.42"/>
    <s v="May"/>
    <s v="BTCUSD"/>
  </r>
  <r>
    <x v="323"/>
    <x v="7"/>
    <x v="1"/>
    <n v="58545.16"/>
    <n v="59481.34"/>
    <n v="56275.13"/>
    <n v="59407.78"/>
    <n v="1710.38"/>
    <s v="May"/>
    <s v="BTCUSD"/>
  </r>
  <r>
    <x v="324"/>
    <x v="7"/>
    <x v="1"/>
    <n v="58187.76"/>
    <n v="59560"/>
    <n v="57583.09"/>
    <n v="58545.16"/>
    <n v="1692.08"/>
    <s v="May"/>
    <s v="BTCUSD"/>
  </r>
  <r>
    <x v="165"/>
    <x v="7"/>
    <x v="1"/>
    <n v="55762.28"/>
    <n v="58750"/>
    <n v="55292.22"/>
    <n v="58187.76"/>
    <n v="1591.2"/>
    <s v="May"/>
    <s v="BTCUSD"/>
  </r>
  <r>
    <x v="166"/>
    <x v="7"/>
    <x v="1"/>
    <n v="56900.44"/>
    <n v="58465.93"/>
    <n v="55200"/>
    <n v="55762.28"/>
    <n v="1494.9"/>
    <s v="May"/>
    <s v="BTCUSD"/>
  </r>
  <r>
    <x v="167"/>
    <x v="7"/>
    <x v="1"/>
    <n v="54832.2"/>
    <n v="57974.07"/>
    <n v="53158.68"/>
    <n v="56900.44"/>
    <n v="2430.66"/>
    <s v="May"/>
    <s v="BTCUSD"/>
  </r>
  <r>
    <x v="168"/>
    <x v="7"/>
    <x v="1"/>
    <n v="55511.37"/>
    <n v="56659.5"/>
    <n v="52947.09"/>
    <n v="54832.2"/>
    <n v="2880.08"/>
    <s v="May"/>
    <s v="BTCUSD"/>
  </r>
  <r>
    <x v="169"/>
    <x v="7"/>
    <x v="1"/>
    <n v="57970.74"/>
    <n v="58988.52"/>
    <n v="54654.65"/>
    <n v="55511.37"/>
    <n v="2363.15"/>
    <s v="May"/>
    <s v="BTCUSD"/>
  </r>
  <r>
    <x v="325"/>
    <x v="7"/>
    <x v="1"/>
    <n v="56547.4"/>
    <n v="58293.35"/>
    <n v="56104.4"/>
    <n v="57970.74"/>
    <n v="653.63"/>
    <s v="May"/>
    <s v="BTCUSD"/>
  </r>
  <r>
    <x v="326"/>
    <x v="7"/>
    <x v="1"/>
    <n v="58272.25"/>
    <n v="300000"/>
    <n v="56408.62"/>
    <n v="56547.4"/>
    <n v="538.94000000000005"/>
    <s v="May"/>
    <s v="BTCUSD"/>
  </r>
  <r>
    <x v="170"/>
    <x v="19"/>
    <x v="1"/>
    <n v="53750.01"/>
    <n v="58553.71"/>
    <n v="53750.01"/>
    <n v="58272.25"/>
    <n v="1869.51"/>
    <s v="Apr"/>
    <s v="BTCUSD"/>
  </r>
  <r>
    <x v="171"/>
    <x v="19"/>
    <x v="1"/>
    <n v="54312.41"/>
    <n v="54755.360000000001"/>
    <n v="52389.42"/>
    <n v="53750.01"/>
    <n v="1561.01"/>
    <s v="Apr"/>
    <s v="BTCUSD"/>
  </r>
  <r>
    <x v="172"/>
    <x v="19"/>
    <x v="1"/>
    <n v="54883.25"/>
    <n v="56474.720000000001"/>
    <n v="53861.120000000003"/>
    <n v="54312.41"/>
    <n v="1628.45"/>
    <s v="Apr"/>
    <s v="BTCUSD"/>
  </r>
  <r>
    <x v="173"/>
    <x v="19"/>
    <x v="1"/>
    <n v="53531.94"/>
    <n v="55800"/>
    <n v="53345.62"/>
    <n v="54883.25"/>
    <n v="1508.58"/>
    <s v="Apr"/>
    <s v="BTCUSD"/>
  </r>
  <r>
    <x v="174"/>
    <x v="19"/>
    <x v="1"/>
    <n v="52435.9"/>
    <n v="54419.57"/>
    <n v="52096.87"/>
    <n v="53531.94"/>
    <n v="1804.88"/>
    <s v="Apr"/>
    <s v="BTCUSD"/>
  </r>
  <r>
    <x v="327"/>
    <x v="19"/>
    <x v="1"/>
    <n v="49721.97"/>
    <n v="52567.77"/>
    <n v="47000"/>
    <n v="52435.9"/>
    <n v="2662.93"/>
    <s v="Apr"/>
    <s v="BTCUSD"/>
  </r>
  <r>
    <x v="328"/>
    <x v="19"/>
    <x v="1"/>
    <n v="50195.42"/>
    <n v="51150.01"/>
    <n v="48755.01"/>
    <n v="49721.97"/>
    <n v="943.26"/>
    <s v="Apr"/>
    <s v="BTCUSD"/>
  </r>
  <r>
    <x v="175"/>
    <x v="19"/>
    <x v="1"/>
    <n v="50329.66"/>
    <n v="51380.03"/>
    <n v="47231"/>
    <n v="50195.42"/>
    <n v="3250.51"/>
    <s v="Apr"/>
    <s v="BTCUSD"/>
  </r>
  <r>
    <x v="176"/>
    <x v="19"/>
    <x v="1"/>
    <n v="53508.08"/>
    <n v="55499.99"/>
    <n v="48565.58"/>
    <n v="50329.66"/>
    <n v="4415.7"/>
    <s v="Apr"/>
    <s v="BTCUSD"/>
  </r>
  <r>
    <x v="177"/>
    <x v="19"/>
    <x v="1"/>
    <n v="55255.57"/>
    <n v="56373"/>
    <n v="52600"/>
    <n v="53508.08"/>
    <n v="2243.11"/>
    <s v="Apr"/>
    <s v="BTCUSD"/>
  </r>
  <r>
    <x v="178"/>
    <x v="19"/>
    <x v="1"/>
    <n v="54586.65"/>
    <n v="57145.34"/>
    <n v="53416.76"/>
    <n v="55255.57"/>
    <n v="2353.91"/>
    <s v="Apr"/>
    <s v="BTCUSD"/>
  </r>
  <r>
    <x v="179"/>
    <x v="19"/>
    <x v="1"/>
    <n v="57175.61"/>
    <n v="57624.66"/>
    <n v="53606.41"/>
    <n v="54586.65"/>
    <n v="2832.89"/>
    <s v="Apr"/>
    <s v="BTCUSD"/>
  </r>
  <r>
    <x v="329"/>
    <x v="19"/>
    <x v="1"/>
    <n v="55992.97"/>
    <n v="57404.04"/>
    <n v="53176.36"/>
    <n v="57175.61"/>
    <n v="3720.3"/>
    <s v="Apr"/>
    <s v="BTCUSD"/>
  </r>
  <r>
    <x v="330"/>
    <x v="19"/>
    <x v="1"/>
    <n v="62450"/>
    <n v="62545.78"/>
    <n v="50622.32"/>
    <n v="55992.97"/>
    <n v="2586.09"/>
    <s v="Apr"/>
    <s v="BTCUSD"/>
  </r>
  <r>
    <x v="180"/>
    <x v="19"/>
    <x v="1"/>
    <n v="62998.68"/>
    <n v="62998.68"/>
    <n v="60055.14"/>
    <n v="62450"/>
    <n v="2319.6"/>
    <s v="Apr"/>
    <s v="BTCUSD"/>
  </r>
  <r>
    <x v="181"/>
    <x v="19"/>
    <x v="1"/>
    <n v="63063.72"/>
    <n v="63855.12"/>
    <n v="62045"/>
    <n v="62998.68"/>
    <n v="1328.55"/>
    <s v="Apr"/>
    <s v="BTCUSD"/>
  </r>
  <r>
    <x v="182"/>
    <x v="19"/>
    <x v="1"/>
    <n v="63773.18"/>
    <n v="64900"/>
    <n v="61303.97"/>
    <n v="63063.72"/>
    <n v="2922.03"/>
    <s v="Apr"/>
    <s v="BTCUSD"/>
  </r>
  <r>
    <x v="183"/>
    <x v="19"/>
    <x v="1"/>
    <n v="60415.91"/>
    <n v="63880"/>
    <n v="60321.120000000003"/>
    <n v="63773.18"/>
    <n v="2091.4299999999998"/>
    <s v="Apr"/>
    <s v="BTCUSD"/>
  </r>
  <r>
    <x v="184"/>
    <x v="19"/>
    <x v="1"/>
    <n v="60325.66"/>
    <n v="61197.09"/>
    <n v="59400.01"/>
    <n v="60415.91"/>
    <n v="1343.29"/>
    <s v="Apr"/>
    <s v="BTCUSD"/>
  </r>
  <r>
    <x v="331"/>
    <x v="19"/>
    <x v="1"/>
    <n v="60240.83"/>
    <n v="60416.42"/>
    <n v="59200"/>
    <n v="60325.66"/>
    <n v="644.47"/>
    <s v="Apr"/>
    <s v="BTCUSD"/>
  </r>
  <r>
    <x v="332"/>
    <x v="19"/>
    <x v="1"/>
    <n v="59160"/>
    <n v="61180"/>
    <n v="58316.33"/>
    <n v="60240.83"/>
    <n v="1344.77"/>
    <s v="Apr"/>
    <s v="BTCUSD"/>
  </r>
  <r>
    <x v="185"/>
    <x v="19"/>
    <x v="1"/>
    <n v="58014.19"/>
    <n v="59170"/>
    <n v="57689.72"/>
    <n v="59160"/>
    <n v="930.34"/>
    <s v="Apr"/>
    <s v="BTCUSD"/>
  </r>
  <r>
    <x v="186"/>
    <x v="19"/>
    <x v="1"/>
    <n v="56559.59"/>
    <n v="58400"/>
    <n v="56370.7"/>
    <n v="58014.19"/>
    <n v="762.92"/>
    <s v="Apr"/>
    <s v="BTCUSD"/>
  </r>
  <r>
    <x v="187"/>
    <x v="19"/>
    <x v="1"/>
    <n v="57934.16"/>
    <n v="58675.79"/>
    <n v="55450"/>
    <n v="56559.59"/>
    <n v="1994.91"/>
    <s v="Apr"/>
    <s v="BTCUSD"/>
  </r>
  <r>
    <x v="188"/>
    <x v="19"/>
    <x v="1"/>
    <n v="58638.14"/>
    <n v="59028.19"/>
    <n v="57255"/>
    <n v="57934.16"/>
    <n v="1173.72"/>
    <s v="Apr"/>
    <s v="BTCUSD"/>
  </r>
  <r>
    <x v="189"/>
    <x v="19"/>
    <x v="1"/>
    <n v="57479.64"/>
    <n v="59468.95"/>
    <n v="56810.28"/>
    <n v="58638.14"/>
    <n v="845.18"/>
    <s v="Apr"/>
    <s v="BTCUSD"/>
  </r>
  <r>
    <x v="333"/>
    <x v="19"/>
    <x v="1"/>
    <n v="57557.71"/>
    <n v="58500.94"/>
    <n v="57042.53"/>
    <n v="57479.64"/>
    <n v="288.3"/>
    <s v="Apr"/>
    <s v="BTCUSD"/>
  </r>
  <r>
    <x v="334"/>
    <x v="19"/>
    <x v="1"/>
    <n v="59251.040000000001"/>
    <n v="59851.519999999997"/>
    <n v="56500"/>
    <n v="57557.71"/>
    <n v="834.45"/>
    <s v="Apr"/>
    <s v="BTCUSD"/>
  </r>
  <r>
    <x v="335"/>
    <x v="19"/>
    <x v="1"/>
    <n v="59800"/>
    <n v="59950"/>
    <n v="58485.68"/>
    <n v="59251.040000000001"/>
    <n v="760.64"/>
    <s v="Apr"/>
    <s v="BTCUSD"/>
  </r>
  <r>
    <x v="190"/>
    <x v="19"/>
    <x v="1"/>
    <n v="59143.58"/>
    <n v="60100"/>
    <n v="57946.28"/>
    <n v="59800"/>
    <n v="1221"/>
    <s v="Apr"/>
    <s v="BTCUSD"/>
  </r>
  <r>
    <x v="191"/>
    <x v="20"/>
    <x v="1"/>
    <n v="58621.67"/>
    <n v="59800"/>
    <n v="56880"/>
    <n v="59143.58"/>
    <n v="1679.55"/>
    <s v="Mar"/>
    <s v="BTCUSD"/>
  </r>
  <r>
    <x v="192"/>
    <x v="20"/>
    <x v="1"/>
    <n v="57155.81"/>
    <n v="59385"/>
    <n v="57024.4"/>
    <n v="58621.67"/>
    <n v="933.97"/>
    <s v="Mar"/>
    <s v="BTCUSD"/>
  </r>
  <r>
    <x v="193"/>
    <x v="20"/>
    <x v="1"/>
    <n v="55351"/>
    <n v="58430.77"/>
    <n v="54889.09"/>
    <n v="57155.81"/>
    <n v="2020.26"/>
    <s v="Mar"/>
    <s v="BTCUSD"/>
  </r>
  <r>
    <x v="336"/>
    <x v="20"/>
    <x v="1"/>
    <n v="56094.03"/>
    <n v="56576.23"/>
    <n v="54711.01"/>
    <n v="55351"/>
    <n v="453.44"/>
    <s v="Mar"/>
    <s v="BTCUSD"/>
  </r>
  <r>
    <x v="337"/>
    <x v="20"/>
    <x v="1"/>
    <n v="54804.02"/>
    <n v="56624.33"/>
    <n v="53990"/>
    <n v="56094.03"/>
    <n v="730.37"/>
    <s v="Mar"/>
    <s v="BTCUSD"/>
  </r>
  <r>
    <x v="194"/>
    <x v="20"/>
    <x v="1"/>
    <n v="52450.8"/>
    <n v="55627.21"/>
    <n v="52205.36"/>
    <n v="54804.02"/>
    <n v="1655.31"/>
    <s v="Mar"/>
    <s v="BTCUSD"/>
  </r>
  <r>
    <x v="195"/>
    <x v="20"/>
    <x v="1"/>
    <n v="52152.85"/>
    <n v="53234.52"/>
    <n v="50387.01"/>
    <n v="52450.8"/>
    <n v="1736.99"/>
    <s v="Mar"/>
    <s v="BTCUSD"/>
  </r>
  <r>
    <x v="196"/>
    <x v="20"/>
    <x v="1"/>
    <n v="54375.12"/>
    <n v="57245"/>
    <n v="51533.89"/>
    <n v="52152.85"/>
    <n v="2556.02"/>
    <s v="Mar"/>
    <s v="BTCUSD"/>
  </r>
  <r>
    <x v="197"/>
    <x v="20"/>
    <x v="1"/>
    <n v="54710.81"/>
    <n v="55903.62"/>
    <n v="53000"/>
    <n v="54375.12"/>
    <n v="1916.14"/>
    <s v="Mar"/>
    <s v="BTCUSD"/>
  </r>
  <r>
    <x v="198"/>
    <x v="20"/>
    <x v="1"/>
    <n v="57551.47"/>
    <n v="58445.36"/>
    <n v="53733.67"/>
    <n v="54710.81"/>
    <n v="1771.2"/>
    <s v="Mar"/>
    <s v="BTCUSD"/>
  </r>
  <r>
    <x v="338"/>
    <x v="20"/>
    <x v="1"/>
    <n v="57833.32"/>
    <n v="58164.58"/>
    <n v="55500"/>
    <n v="57551.47"/>
    <n v="781.35"/>
    <s v="Mar"/>
    <s v="BTCUSD"/>
  </r>
  <r>
    <x v="339"/>
    <x v="20"/>
    <x v="1"/>
    <n v="58428.9"/>
    <n v="59880"/>
    <n v="57469.36"/>
    <n v="57833.32"/>
    <n v="774.22"/>
    <s v="Mar"/>
    <s v="BTCUSD"/>
  </r>
  <r>
    <x v="199"/>
    <x v="20"/>
    <x v="1"/>
    <n v="57793.71"/>
    <n v="59448.39"/>
    <n v="57507.61"/>
    <n v="58428.9"/>
    <n v="1014.17"/>
    <s v="Mar"/>
    <s v="BTCUSD"/>
  </r>
  <r>
    <x v="200"/>
    <x v="20"/>
    <x v="1"/>
    <n v="58687.360000000001"/>
    <n v="60099.99"/>
    <n v="56239.55"/>
    <n v="57793.71"/>
    <n v="1594.38"/>
    <s v="Mar"/>
    <s v="BTCUSD"/>
  </r>
  <r>
    <x v="201"/>
    <x v="20"/>
    <x v="1"/>
    <n v="55548.73"/>
    <n v="59567.59"/>
    <n v="54144.95"/>
    <n v="58687.360000000001"/>
    <n v="1950.94"/>
    <s v="Mar"/>
    <s v="BTCUSD"/>
  </r>
  <r>
    <x v="202"/>
    <x v="20"/>
    <x v="1"/>
    <n v="54255.040000000001"/>
    <n v="57185.78"/>
    <n v="53589"/>
    <n v="55548.73"/>
    <n v="1350.97"/>
    <s v="Mar"/>
    <s v="BTCUSD"/>
  </r>
  <r>
    <x v="203"/>
    <x v="20"/>
    <x v="1"/>
    <n v="60362.18"/>
    <n v="60561.59"/>
    <n v="53238.69"/>
    <n v="54255.040000000001"/>
    <n v="3453.09"/>
    <s v="Mar"/>
    <s v="BTCUSD"/>
  </r>
  <r>
    <x v="340"/>
    <x v="20"/>
    <x v="1"/>
    <n v="61354.75"/>
    <n v="61500.82"/>
    <n v="58750"/>
    <n v="60362.18"/>
    <n v="1286.1500000000001"/>
    <s v="Mar"/>
    <s v="BTCUSD"/>
  </r>
  <r>
    <x v="341"/>
    <x v="20"/>
    <x v="1"/>
    <n v="56705.84"/>
    <n v="61785"/>
    <n v="56284.51"/>
    <n v="61354.75"/>
    <n v="2135.31"/>
    <s v="Mar"/>
    <s v="BTCUSD"/>
  </r>
  <r>
    <x v="204"/>
    <x v="20"/>
    <x v="1"/>
    <n v="57111.63"/>
    <n v="57959.22"/>
    <n v="55050"/>
    <n v="56705.84"/>
    <n v="1595.58"/>
    <s v="Mar"/>
    <s v="BTCUSD"/>
  </r>
  <r>
    <x v="205"/>
    <x v="20"/>
    <x v="1"/>
    <n v="55971.68"/>
    <n v="58120"/>
    <n v="54281.74"/>
    <n v="57111.63"/>
    <n v="1776.09"/>
    <s v="Mar"/>
    <s v="BTCUSD"/>
  </r>
  <r>
    <x v="206"/>
    <x v="20"/>
    <x v="1"/>
    <n v="53466.19"/>
    <n v="57400"/>
    <n v="53049"/>
    <n v="55971.68"/>
    <n v="2062.29"/>
    <s v="Mar"/>
    <s v="BTCUSD"/>
  </r>
  <r>
    <x v="207"/>
    <x v="20"/>
    <x v="1"/>
    <n v="53931.34"/>
    <n v="55847.68"/>
    <n v="53140.76"/>
    <n v="53466.19"/>
    <n v="1933.15"/>
    <s v="Mar"/>
    <s v="BTCUSD"/>
  </r>
  <r>
    <x v="208"/>
    <x v="20"/>
    <x v="1"/>
    <n v="50591.21"/>
    <n v="54126"/>
    <n v="49300.01"/>
    <n v="53931.34"/>
    <n v="1880.72"/>
    <s v="Mar"/>
    <s v="BTCUSD"/>
  </r>
  <r>
    <x v="342"/>
    <x v="20"/>
    <x v="1"/>
    <n v="49610.32"/>
    <n v="51832.15"/>
    <n v="49135.73"/>
    <n v="50591.21"/>
    <n v="1157.04"/>
    <s v="Mar"/>
    <s v="BTCUSD"/>
  </r>
  <r>
    <x v="343"/>
    <x v="20"/>
    <x v="1"/>
    <n v="48648.76"/>
    <n v="49915.73"/>
    <n v="47096.87"/>
    <n v="49610.32"/>
    <n v="1027.29"/>
    <s v="Mar"/>
    <s v="BTCUSD"/>
  </r>
  <r>
    <x v="209"/>
    <x v="20"/>
    <x v="1"/>
    <n v="47339.92"/>
    <n v="49455.61"/>
    <n v="46443.16"/>
    <n v="48648.76"/>
    <n v="1774.93"/>
    <s v="Mar"/>
    <s v="BTCUSD"/>
  </r>
  <r>
    <x v="210"/>
    <x v="20"/>
    <x v="1"/>
    <n v="49597.23"/>
    <n v="50754.39"/>
    <n v="46297.47"/>
    <n v="47339.92"/>
    <n v="2507.35"/>
    <s v="Mar"/>
    <s v="BTCUSD"/>
  </r>
  <r>
    <x v="211"/>
    <x v="20"/>
    <x v="1"/>
    <n v="48749.78"/>
    <n v="52737.2"/>
    <n v="48697.279999999999"/>
    <n v="49597.23"/>
    <n v="2756.27"/>
    <s v="Mar"/>
    <s v="BTCUSD"/>
  </r>
  <r>
    <x v="212"/>
    <x v="20"/>
    <x v="1"/>
    <n v="49023.76"/>
    <n v="49757.22"/>
    <n v="47076.52"/>
    <n v="48749.78"/>
    <n v="1887.71"/>
    <s v="Mar"/>
    <s v="BTCUSD"/>
  </r>
  <r>
    <x v="213"/>
    <x v="20"/>
    <x v="1"/>
    <n v="46408.05"/>
    <m/>
    <n v="45700.01"/>
    <n v="49023.76"/>
    <n v="3079.22"/>
    <s v="Mar"/>
    <s v="BTCUSD"/>
  </r>
  <r>
    <x v="344"/>
    <x v="21"/>
    <x v="1"/>
    <n v="44673.36"/>
    <n v="46920"/>
    <n v="43033.66"/>
    <n v="46408.05"/>
    <n v="2188.54"/>
    <s v="Feb"/>
    <s v="BTCUSD"/>
  </r>
  <r>
    <x v="345"/>
    <x v="21"/>
    <x v="1"/>
    <n v="47440"/>
    <n v="48380.14"/>
    <n v="44510"/>
    <n v="44673.36"/>
    <n v="1191.06"/>
    <s v="Feb"/>
    <s v="BTCUSD"/>
  </r>
  <r>
    <x v="214"/>
    <x v="21"/>
    <x v="1"/>
    <n v="47360.43"/>
    <n v="48472.08"/>
    <n v="44121.24"/>
    <n v="47440"/>
    <n v="3297.57"/>
    <s v="Feb"/>
    <s v="BTCUSD"/>
  </r>
  <r>
    <x v="215"/>
    <x v="21"/>
    <x v="1"/>
    <n v="50266.89"/>
    <n v="52074"/>
    <n v="46000"/>
    <n v="47360.43"/>
    <n v="3900.71"/>
    <s v="Feb"/>
    <s v="BTCUSD"/>
  </r>
  <r>
    <x v="216"/>
    <x v="21"/>
    <x v="1"/>
    <n v="50965.74"/>
    <n v="51442.01"/>
    <n v="48113.83"/>
    <n v="50266.89"/>
    <n v="2798.46"/>
    <s v="Feb"/>
    <s v="BTCUSD"/>
  </r>
  <r>
    <x v="217"/>
    <x v="21"/>
    <x v="1"/>
    <n v="51847.25"/>
    <n v="52294.87"/>
    <n v="44248"/>
    <n v="50965.74"/>
    <n v="6641.9"/>
    <s v="Feb"/>
    <s v="BTCUSD"/>
  </r>
  <r>
    <x v="218"/>
    <x v="21"/>
    <x v="1"/>
    <n v="55914.43"/>
    <n v="56651.47"/>
    <n v="47000"/>
    <n v="51847.25"/>
    <n v="5371.31"/>
    <s v="Feb"/>
    <s v="BTCUSD"/>
  </r>
  <r>
    <x v="346"/>
    <x v="21"/>
    <x v="1"/>
    <n v="56541.2"/>
    <n v="58481.599999999999"/>
    <n v="55800"/>
    <n v="55914.43"/>
    <n v="1454.9"/>
    <s v="Feb"/>
    <s v="BTCUSD"/>
  </r>
  <r>
    <x v="347"/>
    <x v="21"/>
    <x v="1"/>
    <n v="55761.1"/>
    <n v="57500"/>
    <n v="54000"/>
    <n v="56541.2"/>
    <n v="1349.19"/>
    <s v="Feb"/>
    <s v="BTCUSD"/>
  </r>
  <r>
    <x v="219"/>
    <x v="21"/>
    <x v="1"/>
    <n v="51241.23"/>
    <n v="56605.599999999999"/>
    <n v="50906"/>
    <n v="55761.1"/>
    <n v="3143.93"/>
    <s v="Feb"/>
    <s v="BTCUSD"/>
  </r>
  <r>
    <x v="220"/>
    <x v="21"/>
    <x v="1"/>
    <n v="52068.01"/>
    <n v="52344"/>
    <n v="50500"/>
    <n v="51241.23"/>
    <n v="2002.6"/>
    <s v="Feb"/>
    <s v="BTCUSD"/>
  </r>
  <r>
    <x v="221"/>
    <x v="21"/>
    <x v="1"/>
    <n v="49649.93"/>
    <n v="52668.45"/>
    <n v="49164.23"/>
    <n v="52068.01"/>
    <n v="2858.2"/>
    <s v="Feb"/>
    <s v="BTCUSD"/>
  </r>
  <r>
    <x v="222"/>
    <x v="21"/>
    <x v="1"/>
    <n v="49587.199999999997"/>
    <n v="50602.34"/>
    <n v="47818.86"/>
    <n v="49649.93"/>
    <n v="2776.27"/>
    <s v="Feb"/>
    <s v="BTCUSD"/>
  </r>
  <r>
    <x v="348"/>
    <x v="21"/>
    <x v="1"/>
    <n v="47185.29"/>
    <n v="49600"/>
    <n v="46334.68"/>
    <n v="49587.199999999997"/>
    <n v="1736.03"/>
    <s v="Feb"/>
    <s v="BTCUSD"/>
  </r>
  <r>
    <x v="349"/>
    <x v="21"/>
    <x v="1"/>
    <n v="47381.8"/>
    <n v="49700"/>
    <n v="45830.01"/>
    <n v="47185.29"/>
    <n v="2174.9"/>
    <s v="Feb"/>
    <s v="BTCUSD"/>
  </r>
  <r>
    <x v="350"/>
    <x v="21"/>
    <x v="1"/>
    <n v="47938.87"/>
    <n v="48027.3"/>
    <n v="46290.25"/>
    <n v="47381.8"/>
    <n v="1252.44"/>
    <s v="Feb"/>
    <s v="BTCUSD"/>
  </r>
  <r>
    <x v="223"/>
    <x v="21"/>
    <x v="1"/>
    <n v="47624.29"/>
    <n v="48246.6"/>
    <n v="46289.93"/>
    <n v="47938.87"/>
    <n v="2413.87"/>
    <s v="Feb"/>
    <s v="BTCUSD"/>
  </r>
  <r>
    <x v="224"/>
    <x v="21"/>
    <x v="1"/>
    <n v="45513.94"/>
    <n v="48975"/>
    <n v="44457.55"/>
    <n v="47624.29"/>
    <n v="2589"/>
    <s v="Feb"/>
    <s v="BTCUSD"/>
  </r>
  <r>
    <x v="225"/>
    <x v="21"/>
    <x v="1"/>
    <n v="46309.88"/>
    <n v="47367.17"/>
    <n v="43762.99"/>
    <n v="45513.94"/>
    <n v="2479.69"/>
    <s v="Feb"/>
    <s v="BTCUSD"/>
  </r>
  <r>
    <x v="226"/>
    <x v="21"/>
    <x v="1"/>
    <n v="46653.5"/>
    <n v="48201.23"/>
    <n v="45037.8"/>
    <n v="46309.88"/>
    <n v="2992.16"/>
    <s v="Feb"/>
    <s v="BTCUSD"/>
  </r>
  <r>
    <x v="227"/>
    <x v="21"/>
    <x v="1"/>
    <n v="38107.339999999997"/>
    <n v="47519.31"/>
    <n v="38060.68"/>
    <n v="46653.5"/>
    <n v="5944.37"/>
    <s v="Feb"/>
    <s v="BTCUSD"/>
  </r>
  <r>
    <x v="351"/>
    <x v="21"/>
    <x v="1"/>
    <n v="38897.949999999997"/>
    <n v="39748.959999999999"/>
    <n v="37400"/>
    <n v="38107.339999999997"/>
    <n v="1239.8699999999999"/>
    <s v="Feb"/>
    <s v="BTCUSD"/>
  </r>
  <r>
    <x v="352"/>
    <x v="21"/>
    <x v="1"/>
    <n v="39415.760000000002"/>
    <n v="41000"/>
    <n v="38368.69"/>
    <n v="38897.949999999997"/>
    <n v="2002.11"/>
    <s v="Feb"/>
    <s v="BTCUSD"/>
  </r>
  <r>
    <x v="228"/>
    <x v="21"/>
    <x v="1"/>
    <n v="37380.18"/>
    <n v="39700"/>
    <n v="37057.78"/>
    <n v="39415.760000000002"/>
    <n v="2032.78"/>
    <s v="Feb"/>
    <s v="BTCUSD"/>
  </r>
  <r>
    <x v="229"/>
    <x v="21"/>
    <x v="1"/>
    <n v="37551.56"/>
    <n v="38785.99"/>
    <n v="36211.08"/>
    <n v="37380.18"/>
    <n v="2637.09"/>
    <s v="Feb"/>
    <s v="BTCUSD"/>
  </r>
  <r>
    <x v="230"/>
    <x v="21"/>
    <x v="1"/>
    <n v="36467.279999999999"/>
    <n v="38375"/>
    <n v="35583.18"/>
    <n v="37551.56"/>
    <n v="2559.71"/>
    <s v="Feb"/>
    <s v="BTCUSD"/>
  </r>
  <r>
    <x v="231"/>
    <x v="21"/>
    <x v="1"/>
    <n v="33589.89"/>
    <n v="36545.050000000003"/>
    <n v="33535.61"/>
    <n v="36467.279999999999"/>
    <n v="2328.35"/>
    <s v="Feb"/>
    <s v="BTCUSD"/>
  </r>
  <r>
    <x v="232"/>
    <x v="21"/>
    <x v="1"/>
    <n v="33608.78"/>
    <n v="34700"/>
    <n v="33106.089999999997"/>
    <n v="33589.89"/>
    <n v="2134.59"/>
    <s v="Feb"/>
    <s v="BTCUSD"/>
  </r>
  <r>
    <x v="353"/>
    <x v="22"/>
    <x v="1"/>
    <n v="33949.79"/>
    <n v="34205"/>
    <n v="32200"/>
    <n v="33608.78"/>
    <n v="1153.46"/>
    <s v="Jan"/>
    <s v="BTCUSD"/>
  </r>
  <r>
    <x v="354"/>
    <x v="22"/>
    <x v="1"/>
    <n v="33289.129999999997"/>
    <n v="34805.65"/>
    <n v="33153.17"/>
    <n v="33949.79"/>
    <n v="1379.03"/>
    <s v="Jan"/>
    <s v="BTCUSD"/>
  </r>
  <r>
    <x v="233"/>
    <x v="22"/>
    <x v="1"/>
    <n v="33864.01"/>
    <n v="38665.71"/>
    <n v="31968.27"/>
    <n v="33289.129999999997"/>
    <n v="7733.43"/>
    <s v="Jan"/>
    <s v="BTCUSD"/>
  </r>
  <r>
    <x v="234"/>
    <x v="22"/>
    <x v="1"/>
    <n v="31514.54"/>
    <n v="34671.769999999997"/>
    <n v="30866.39"/>
    <n v="33864.01"/>
    <n v="4614.55"/>
    <s v="Jan"/>
    <s v="BTCUSD"/>
  </r>
  <r>
    <x v="235"/>
    <x v="22"/>
    <x v="1"/>
    <n v="31852.6"/>
    <n v="32059.73"/>
    <n v="29191.9"/>
    <n v="31514.54"/>
    <n v="5779.14"/>
    <s v="Jan"/>
    <s v="BTCUSD"/>
  </r>
  <r>
    <x v="236"/>
    <x v="22"/>
    <x v="1"/>
    <n v="31557.64"/>
    <n v="32951"/>
    <n v="30833.97"/>
    <n v="31852.6"/>
    <n v="2542.86"/>
    <s v="Jan"/>
    <s v="BTCUSD"/>
  </r>
  <r>
    <x v="237"/>
    <x v="22"/>
    <x v="1"/>
    <n v="33585.440000000002"/>
    <n v="34885.56"/>
    <n v="31481.38"/>
    <n v="31557.64"/>
    <n v="2502.7800000000002"/>
    <s v="Jan"/>
    <s v="BTCUSD"/>
  </r>
  <r>
    <x v="355"/>
    <x v="22"/>
    <x v="1"/>
    <n v="32500"/>
    <n v="33672.18"/>
    <n v="30958"/>
    <n v="33585.440000000002"/>
    <n v="1668.48"/>
    <s v="Jan"/>
    <s v="BTCUSD"/>
  </r>
  <r>
    <x v="356"/>
    <x v="22"/>
    <x v="1"/>
    <n v="32393.63"/>
    <n v="33479.49"/>
    <n v="31444"/>
    <n v="32500"/>
    <n v="942"/>
    <s v="Jan"/>
    <s v="BTCUSD"/>
  </r>
  <r>
    <x v="238"/>
    <x v="22"/>
    <x v="1"/>
    <n v="30943.32"/>
    <n v="33880"/>
    <n v="30473.87"/>
    <n v="32393.63"/>
    <n v="2869.23"/>
    <s v="Jan"/>
    <s v="BTCUSD"/>
  </r>
  <r>
    <x v="239"/>
    <x v="22"/>
    <x v="1"/>
    <n v="34603.74"/>
    <n v="35000"/>
    <n v="28800"/>
    <n v="30943.32"/>
    <n v="7290.52"/>
    <s v="Jan"/>
    <s v="BTCUSD"/>
  </r>
  <r>
    <x v="240"/>
    <x v="22"/>
    <x v="1"/>
    <n v="35075.53"/>
    <n v="35964.949999999997"/>
    <n v="33400"/>
    <n v="34603.74"/>
    <n v="2900.01"/>
    <s v="Jan"/>
    <s v="BTCUSD"/>
  </r>
  <r>
    <x v="241"/>
    <x v="22"/>
    <x v="1"/>
    <n v="36509.42"/>
    <n v="37934.199999999997"/>
    <n v="35005"/>
    <n v="35075.53"/>
    <n v="2726.29"/>
    <s v="Jan"/>
    <s v="BTCUSD"/>
  </r>
  <r>
    <x v="357"/>
    <x v="22"/>
    <x v="1"/>
    <n v="35089.93"/>
    <n v="37469.21"/>
    <n v="34778"/>
    <n v="36509.42"/>
    <n v="2083.84"/>
    <s v="Jan"/>
    <s v="BTCUSD"/>
  </r>
  <r>
    <x v="358"/>
    <x v="22"/>
    <x v="1"/>
    <n v="36215.22"/>
    <n v="36840.11"/>
    <n v="33868.959999999999"/>
    <n v="35089.93"/>
    <n v="1759.94"/>
    <s v="Jan"/>
    <s v="BTCUSD"/>
  </r>
  <r>
    <x v="359"/>
    <x v="22"/>
    <x v="1"/>
    <n v="36549.31"/>
    <n v="37949.71"/>
    <n v="35400.01"/>
    <n v="36215.22"/>
    <n v="1855.53"/>
    <s v="Jan"/>
    <s v="BTCUSD"/>
  </r>
  <r>
    <x v="242"/>
    <x v="22"/>
    <x v="1"/>
    <n v="38706.519999999997"/>
    <n v="38849.96"/>
    <n v="34353.629999999997"/>
    <n v="36549.31"/>
    <n v="4503.99"/>
    <s v="Jan"/>
    <s v="BTCUSD"/>
  </r>
  <r>
    <x v="243"/>
    <x v="22"/>
    <x v="1"/>
    <n v="37040.699999999997"/>
    <n v="40112.79"/>
    <n v="36751.4"/>
    <n v="38706.519999999997"/>
    <n v="2686.51"/>
    <s v="Jan"/>
    <s v="BTCUSD"/>
  </r>
  <r>
    <x v="244"/>
    <x v="22"/>
    <x v="1"/>
    <n v="33804.230000000003"/>
    <n v="38188.33"/>
    <n v="32800"/>
    <n v="37040.699999999997"/>
    <n v="4049.91"/>
    <s v="Jan"/>
    <s v="BTCUSD"/>
  </r>
  <r>
    <x v="245"/>
    <x v="22"/>
    <x v="1"/>
    <n v="35000"/>
    <n v="36651.339999999997"/>
    <n v="32178.29"/>
    <n v="33804.230000000003"/>
    <n v="5245.77"/>
    <s v="Jan"/>
    <s v="BTCUSD"/>
  </r>
  <r>
    <x v="246"/>
    <x v="22"/>
    <x v="1"/>
    <n v="35435.129999999997"/>
    <n v="36323.25"/>
    <n v="30250"/>
    <n v="35000"/>
    <n v="12556.01"/>
    <s v="Jan"/>
    <s v="BTCUSD"/>
  </r>
  <r>
    <x v="360"/>
    <x v="22"/>
    <x v="1"/>
    <n v="40490.5"/>
    <n v="41196.620000000003"/>
    <n v="33100"/>
    <n v="35435.129999999997"/>
    <n v="5913.67"/>
    <s v="Jan"/>
    <s v="BTCUSD"/>
  </r>
  <r>
    <x v="361"/>
    <x v="22"/>
    <x v="1"/>
    <n v="40279.03"/>
    <n v="41470.21"/>
    <n v="38768.82"/>
    <n v="40490.5"/>
    <n v="2678.95"/>
    <s v="Jan"/>
    <s v="BTCUSD"/>
  </r>
  <r>
    <x v="247"/>
    <x v="22"/>
    <x v="1"/>
    <n v="38474.78"/>
    <n v="41999.99"/>
    <n v="37574.79"/>
    <n v="40279.03"/>
    <n v="5661.85"/>
    <s v="Jan"/>
    <s v="BTCUSD"/>
  </r>
  <r>
    <x v="248"/>
    <x v="22"/>
    <x v="1"/>
    <n v="37613.11"/>
    <n v="40396"/>
    <n v="36129.050000000003"/>
    <n v="38474.78"/>
    <n v="5743.52"/>
    <s v="Jan"/>
    <s v="BTCUSD"/>
  </r>
  <r>
    <x v="249"/>
    <x v="22"/>
    <x v="1"/>
    <n v="34228.19"/>
    <n v="37824.480000000003"/>
    <n v="33685.82"/>
    <n v="37613.11"/>
    <n v="4925"/>
    <s v="Jan"/>
    <s v="BTCUSD"/>
  </r>
  <r>
    <x v="250"/>
    <x v="22"/>
    <x v="1"/>
    <n v="31203.46"/>
    <n v="34536.29"/>
    <n v="29914.5"/>
    <n v="34228.19"/>
    <n v="3056.56"/>
    <s v="Jan"/>
    <s v="BTCUSD"/>
  </r>
  <r>
    <x v="251"/>
    <x v="22"/>
    <x v="1"/>
    <n v="33617.300000000003"/>
    <n v="33669"/>
    <n v="27632.34"/>
    <n v="31203.46"/>
    <n v="4603.92"/>
    <s v="Jan"/>
    <s v="BTC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FFC79-C031-473E-8F29-45335ECCB84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:I365" firstHeaderRow="1" firstDataRow="2" firstDataCol="1"/>
  <pivotFields count="11">
    <pivotField axis="axisRow" numFmtId="14" showAll="0">
      <items count="363">
        <item x="251"/>
        <item x="250"/>
        <item x="249"/>
        <item x="248"/>
        <item x="247"/>
        <item x="361"/>
        <item x="360"/>
        <item x="246"/>
        <item x="245"/>
        <item x="244"/>
        <item x="243"/>
        <item x="242"/>
        <item x="359"/>
        <item x="358"/>
        <item x="357"/>
        <item x="241"/>
        <item x="240"/>
        <item x="239"/>
        <item x="238"/>
        <item x="356"/>
        <item x="355"/>
        <item x="237"/>
        <item x="236"/>
        <item x="235"/>
        <item x="234"/>
        <item x="233"/>
        <item x="354"/>
        <item x="353"/>
        <item x="232"/>
        <item x="231"/>
        <item x="230"/>
        <item x="229"/>
        <item x="228"/>
        <item x="352"/>
        <item x="351"/>
        <item x="227"/>
        <item x="226"/>
        <item x="225"/>
        <item x="224"/>
        <item x="223"/>
        <item x="350"/>
        <item x="349"/>
        <item x="348"/>
        <item x="222"/>
        <item x="221"/>
        <item x="220"/>
        <item x="219"/>
        <item x="347"/>
        <item x="346"/>
        <item x="218"/>
        <item x="217"/>
        <item x="216"/>
        <item x="215"/>
        <item x="214"/>
        <item x="345"/>
        <item x="344"/>
        <item x="213"/>
        <item x="212"/>
        <item x="211"/>
        <item x="210"/>
        <item x="209"/>
        <item x="343"/>
        <item x="342"/>
        <item x="208"/>
        <item x="207"/>
        <item x="206"/>
        <item x="205"/>
        <item x="204"/>
        <item x="341"/>
        <item x="340"/>
        <item x="203"/>
        <item x="202"/>
        <item x="201"/>
        <item x="200"/>
        <item x="199"/>
        <item x="339"/>
        <item x="338"/>
        <item x="198"/>
        <item x="197"/>
        <item x="196"/>
        <item x="195"/>
        <item x="194"/>
        <item x="337"/>
        <item x="336"/>
        <item x="193"/>
        <item x="192"/>
        <item x="191"/>
        <item x="190"/>
        <item x="335"/>
        <item x="334"/>
        <item x="333"/>
        <item x="189"/>
        <item x="188"/>
        <item x="187"/>
        <item x="186"/>
        <item x="185"/>
        <item x="332"/>
        <item x="331"/>
        <item x="184"/>
        <item x="183"/>
        <item x="182"/>
        <item x="181"/>
        <item x="180"/>
        <item x="330"/>
        <item x="329"/>
        <item x="179"/>
        <item x="178"/>
        <item x="177"/>
        <item x="176"/>
        <item x="175"/>
        <item x="328"/>
        <item x="327"/>
        <item x="174"/>
        <item x="173"/>
        <item x="172"/>
        <item x="171"/>
        <item x="170"/>
        <item x="326"/>
        <item x="325"/>
        <item x="169"/>
        <item x="168"/>
        <item x="167"/>
        <item x="166"/>
        <item x="165"/>
        <item x="324"/>
        <item x="323"/>
        <item x="164"/>
        <item x="163"/>
        <item x="162"/>
        <item x="161"/>
        <item x="160"/>
        <item x="322"/>
        <item x="321"/>
        <item x="159"/>
        <item x="158"/>
        <item x="157"/>
        <item x="156"/>
        <item x="155"/>
        <item x="320"/>
        <item x="319"/>
        <item x="154"/>
        <item x="153"/>
        <item x="152"/>
        <item x="151"/>
        <item x="150"/>
        <item x="318"/>
        <item x="317"/>
        <item x="316"/>
        <item x="149"/>
        <item x="148"/>
        <item x="147"/>
        <item x="146"/>
        <item x="315"/>
        <item x="314"/>
        <item x="145"/>
        <item x="144"/>
        <item x="143"/>
        <item x="142"/>
        <item x="141"/>
        <item x="313"/>
        <item x="312"/>
        <item x="140"/>
        <item x="139"/>
        <item x="138"/>
        <item x="137"/>
        <item x="136"/>
        <item x="311"/>
        <item x="310"/>
        <item x="135"/>
        <item x="134"/>
        <item x="133"/>
        <item x="132"/>
        <item x="131"/>
        <item x="309"/>
        <item x="308"/>
        <item x="130"/>
        <item x="129"/>
        <item x="128"/>
        <item x="127"/>
        <item x="126"/>
        <item x="307"/>
        <item x="306"/>
        <item x="305"/>
        <item x="125"/>
        <item x="124"/>
        <item x="123"/>
        <item x="122"/>
        <item x="304"/>
        <item x="303"/>
        <item x="121"/>
        <item x="120"/>
        <item x="119"/>
        <item x="118"/>
        <item x="117"/>
        <item x="302"/>
        <item x="301"/>
        <item x="116"/>
        <item x="115"/>
        <item x="114"/>
        <item x="113"/>
        <item x="112"/>
        <item x="300"/>
        <item x="299"/>
        <item x="111"/>
        <item x="110"/>
        <item x="109"/>
        <item x="108"/>
        <item x="107"/>
        <item x="298"/>
        <item x="297"/>
        <item x="106"/>
        <item x="105"/>
        <item x="104"/>
        <item x="103"/>
        <item x="102"/>
        <item x="296"/>
        <item x="295"/>
        <item x="101"/>
        <item x="100"/>
        <item x="99"/>
        <item x="98"/>
        <item x="97"/>
        <item x="294"/>
        <item x="293"/>
        <item x="96"/>
        <item x="95"/>
        <item x="94"/>
        <item x="93"/>
        <item x="92"/>
        <item x="292"/>
        <item x="291"/>
        <item x="91"/>
        <item x="90"/>
        <item x="89"/>
        <item x="88"/>
        <item x="87"/>
        <item x="290"/>
        <item x="289"/>
        <item x="86"/>
        <item x="85"/>
        <item x="84"/>
        <item x="83"/>
        <item x="82"/>
        <item x="288"/>
        <item x="287"/>
        <item x="286"/>
        <item x="81"/>
        <item x="80"/>
        <item x="79"/>
        <item x="78"/>
        <item x="285"/>
        <item x="284"/>
        <item x="77"/>
        <item x="76"/>
        <item x="75"/>
        <item x="74"/>
        <item x="73"/>
        <item x="283"/>
        <item x="282"/>
        <item x="72"/>
        <item x="71"/>
        <item x="70"/>
        <item x="69"/>
        <item x="68"/>
        <item x="281"/>
        <item x="280"/>
        <item x="67"/>
        <item x="66"/>
        <item x="65"/>
        <item x="64"/>
        <item x="63"/>
        <item x="279"/>
        <item x="278"/>
        <item x="62"/>
        <item x="61"/>
        <item x="60"/>
        <item x="59"/>
        <item x="58"/>
        <item x="277"/>
        <item x="276"/>
        <item x="57"/>
        <item x="56"/>
        <item x="55"/>
        <item x="54"/>
        <item x="53"/>
        <item x="275"/>
        <item x="274"/>
        <item x="52"/>
        <item x="51"/>
        <item x="50"/>
        <item x="49"/>
        <item x="48"/>
        <item x="273"/>
        <item x="272"/>
        <item x="47"/>
        <item x="46"/>
        <item x="45"/>
        <item x="44"/>
        <item x="43"/>
        <item x="271"/>
        <item x="270"/>
        <item x="42"/>
        <item x="41"/>
        <item x="40"/>
        <item x="39"/>
        <item x="38"/>
        <item x="269"/>
        <item x="268"/>
        <item x="37"/>
        <item x="36"/>
        <item x="35"/>
        <item x="34"/>
        <item x="33"/>
        <item x="267"/>
        <item x="266"/>
        <item x="32"/>
        <item x="31"/>
        <item x="30"/>
        <item x="29"/>
        <item x="28"/>
        <item x="265"/>
        <item x="264"/>
        <item x="27"/>
        <item x="26"/>
        <item x="25"/>
        <item x="263"/>
        <item x="24"/>
        <item x="262"/>
        <item x="261"/>
        <item x="23"/>
        <item x="22"/>
        <item x="21"/>
        <item x="20"/>
        <item x="19"/>
        <item x="260"/>
        <item x="259"/>
        <item x="18"/>
        <item x="17"/>
        <item x="16"/>
        <item x="15"/>
        <item x="14"/>
        <item x="258"/>
        <item x="257"/>
        <item x="13"/>
        <item x="12"/>
        <item x="11"/>
        <item x="10"/>
        <item x="9"/>
        <item x="256"/>
        <item x="255"/>
        <item x="8"/>
        <item x="7"/>
        <item x="6"/>
        <item x="5"/>
        <item x="254"/>
        <item x="253"/>
        <item x="252"/>
        <item x="4"/>
        <item x="3"/>
        <item x="2"/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3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High" fld="4" subtotal="average" baseField="0" baseItem="0"/>
  </dataFields>
  <formats count="1">
    <format dxfId="0">
      <pivotArea grandCol="1" outline="0" collapsedLevelsAreSubtotals="1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E6596-4B4C-412A-A38C-1653DA79288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5" firstHeaderRow="1" firstDataRow="2" firstDataCol="1"/>
  <pivotFields count="11">
    <pivotField numFmtId="14" showAll="0">
      <items count="363">
        <item x="251"/>
        <item x="250"/>
        <item x="249"/>
        <item x="248"/>
        <item x="247"/>
        <item x="361"/>
        <item x="360"/>
        <item x="246"/>
        <item x="245"/>
        <item x="244"/>
        <item x="243"/>
        <item x="242"/>
        <item x="359"/>
        <item x="358"/>
        <item x="357"/>
        <item x="241"/>
        <item x="240"/>
        <item x="239"/>
        <item x="238"/>
        <item x="356"/>
        <item x="355"/>
        <item x="237"/>
        <item x="236"/>
        <item x="235"/>
        <item x="234"/>
        <item x="233"/>
        <item x="354"/>
        <item x="353"/>
        <item x="232"/>
        <item x="231"/>
        <item x="230"/>
        <item x="229"/>
        <item x="228"/>
        <item x="352"/>
        <item x="351"/>
        <item x="227"/>
        <item x="226"/>
        <item x="225"/>
        <item x="224"/>
        <item x="223"/>
        <item x="350"/>
        <item x="349"/>
        <item x="348"/>
        <item x="222"/>
        <item x="221"/>
        <item x="220"/>
        <item x="219"/>
        <item x="347"/>
        <item x="346"/>
        <item x="218"/>
        <item x="217"/>
        <item x="216"/>
        <item x="215"/>
        <item x="214"/>
        <item x="345"/>
        <item x="344"/>
        <item x="213"/>
        <item x="212"/>
        <item x="211"/>
        <item x="210"/>
        <item x="209"/>
        <item x="343"/>
        <item x="342"/>
        <item x="208"/>
        <item x="207"/>
        <item x="206"/>
        <item x="205"/>
        <item x="204"/>
        <item x="341"/>
        <item x="340"/>
        <item x="203"/>
        <item x="202"/>
        <item x="201"/>
        <item x="200"/>
        <item x="199"/>
        <item x="339"/>
        <item x="338"/>
        <item x="198"/>
        <item x="197"/>
        <item x="196"/>
        <item x="195"/>
        <item x="194"/>
        <item x="337"/>
        <item x="336"/>
        <item x="193"/>
        <item x="192"/>
        <item x="191"/>
        <item x="190"/>
        <item x="335"/>
        <item x="334"/>
        <item x="333"/>
        <item x="189"/>
        <item x="188"/>
        <item x="187"/>
        <item x="186"/>
        <item x="185"/>
        <item x="332"/>
        <item x="331"/>
        <item x="184"/>
        <item x="183"/>
        <item x="182"/>
        <item x="181"/>
        <item x="180"/>
        <item x="330"/>
        <item x="329"/>
        <item x="179"/>
        <item x="178"/>
        <item x="177"/>
        <item x="176"/>
        <item x="175"/>
        <item x="328"/>
        <item x="327"/>
        <item x="174"/>
        <item x="173"/>
        <item x="172"/>
        <item x="171"/>
        <item x="170"/>
        <item x="326"/>
        <item x="325"/>
        <item x="169"/>
        <item x="168"/>
        <item x="167"/>
        <item x="166"/>
        <item x="165"/>
        <item x="324"/>
        <item x="323"/>
        <item x="164"/>
        <item x="163"/>
        <item x="162"/>
        <item x="161"/>
        <item x="160"/>
        <item x="322"/>
        <item x="321"/>
        <item x="159"/>
        <item x="158"/>
        <item x="157"/>
        <item x="156"/>
        <item x="155"/>
        <item x="320"/>
        <item x="319"/>
        <item x="154"/>
        <item x="153"/>
        <item x="152"/>
        <item x="151"/>
        <item x="150"/>
        <item x="318"/>
        <item x="317"/>
        <item x="316"/>
        <item x="149"/>
        <item x="148"/>
        <item x="147"/>
        <item x="146"/>
        <item x="315"/>
        <item x="314"/>
        <item x="145"/>
        <item x="144"/>
        <item x="143"/>
        <item x="142"/>
        <item x="141"/>
        <item x="313"/>
        <item x="312"/>
        <item x="140"/>
        <item x="139"/>
        <item x="138"/>
        <item x="137"/>
        <item x="136"/>
        <item x="311"/>
        <item x="310"/>
        <item x="135"/>
        <item x="134"/>
        <item x="133"/>
        <item x="132"/>
        <item x="131"/>
        <item x="309"/>
        <item x="308"/>
        <item x="130"/>
        <item x="129"/>
        <item x="128"/>
        <item x="127"/>
        <item x="126"/>
        <item x="307"/>
        <item x="306"/>
        <item x="305"/>
        <item x="125"/>
        <item x="124"/>
        <item x="123"/>
        <item x="122"/>
        <item x="304"/>
        <item x="303"/>
        <item x="121"/>
        <item x="120"/>
        <item x="119"/>
        <item x="118"/>
        <item x="117"/>
        <item x="302"/>
        <item x="301"/>
        <item x="116"/>
        <item x="115"/>
        <item x="114"/>
        <item x="113"/>
        <item x="112"/>
        <item x="300"/>
        <item x="299"/>
        <item x="111"/>
        <item x="110"/>
        <item x="109"/>
        <item x="108"/>
        <item x="107"/>
        <item x="298"/>
        <item x="297"/>
        <item x="106"/>
        <item x="105"/>
        <item x="104"/>
        <item x="103"/>
        <item x="102"/>
        <item x="296"/>
        <item x="295"/>
        <item x="101"/>
        <item x="100"/>
        <item x="99"/>
        <item x="98"/>
        <item x="97"/>
        <item x="294"/>
        <item x="293"/>
        <item x="96"/>
        <item x="95"/>
        <item x="94"/>
        <item x="93"/>
        <item x="92"/>
        <item x="292"/>
        <item x="291"/>
        <item x="91"/>
        <item x="90"/>
        <item x="89"/>
        <item x="88"/>
        <item x="87"/>
        <item x="290"/>
        <item x="289"/>
        <item x="86"/>
        <item x="85"/>
        <item x="84"/>
        <item x="83"/>
        <item x="82"/>
        <item x="288"/>
        <item x="287"/>
        <item x="286"/>
        <item x="81"/>
        <item x="80"/>
        <item x="79"/>
        <item x="78"/>
        <item x="285"/>
        <item x="284"/>
        <item x="77"/>
        <item x="76"/>
        <item x="75"/>
        <item x="74"/>
        <item x="73"/>
        <item x="283"/>
        <item x="282"/>
        <item x="72"/>
        <item x="71"/>
        <item x="70"/>
        <item x="69"/>
        <item x="68"/>
        <item x="281"/>
        <item x="280"/>
        <item x="67"/>
        <item x="66"/>
        <item x="65"/>
        <item x="64"/>
        <item x="63"/>
        <item x="279"/>
        <item x="278"/>
        <item x="62"/>
        <item x="61"/>
        <item x="60"/>
        <item x="59"/>
        <item x="58"/>
        <item x="277"/>
        <item x="276"/>
        <item x="57"/>
        <item x="56"/>
        <item x="55"/>
        <item x="54"/>
        <item x="53"/>
        <item x="275"/>
        <item x="274"/>
        <item x="52"/>
        <item x="51"/>
        <item x="50"/>
        <item x="49"/>
        <item x="48"/>
        <item x="273"/>
        <item x="272"/>
        <item x="47"/>
        <item x="46"/>
        <item x="45"/>
        <item x="44"/>
        <item x="43"/>
        <item x="271"/>
        <item x="270"/>
        <item x="42"/>
        <item x="41"/>
        <item x="40"/>
        <item x="39"/>
        <item x="38"/>
        <item x="269"/>
        <item x="268"/>
        <item x="37"/>
        <item x="36"/>
        <item x="35"/>
        <item x="34"/>
        <item x="33"/>
        <item x="267"/>
        <item x="266"/>
        <item x="32"/>
        <item x="31"/>
        <item x="30"/>
        <item x="29"/>
        <item x="28"/>
        <item x="265"/>
        <item x="264"/>
        <item x="27"/>
        <item x="26"/>
        <item x="25"/>
        <item x="263"/>
        <item x="24"/>
        <item x="262"/>
        <item x="261"/>
        <item x="23"/>
        <item x="22"/>
        <item x="21"/>
        <item x="20"/>
        <item x="19"/>
        <item x="260"/>
        <item x="259"/>
        <item x="18"/>
        <item x="17"/>
        <item x="16"/>
        <item x="15"/>
        <item x="14"/>
        <item x="258"/>
        <item x="257"/>
        <item x="13"/>
        <item x="12"/>
        <item x="11"/>
        <item x="10"/>
        <item x="9"/>
        <item x="256"/>
        <item x="255"/>
        <item x="8"/>
        <item x="7"/>
        <item x="6"/>
        <item x="5"/>
        <item x="254"/>
        <item x="253"/>
        <item x="252"/>
        <item x="4"/>
        <item x="3"/>
        <item x="2"/>
        <item x="1"/>
        <item x="0"/>
        <item t="default"/>
      </items>
    </pivotField>
    <pivotField showAll="0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lose" fld="6" subtotal="average" baseField="1" baseItem="0" numFmtId="167"/>
  </dataFields>
  <formats count="11">
    <format dxfId="2">
      <pivotArea type="all" dataOnly="0" outline="0" fieldPosition="0"/>
    </format>
    <format dxfId="3">
      <pivotArea outline="0" collapsedLevelsAreSubtotals="1" fieldPosition="0"/>
    </format>
    <format dxfId="4">
      <pivotArea type="origin" dataOnly="0" labelOnly="1" outline="0" fieldPosition="0"/>
    </format>
    <format dxfId="5">
      <pivotArea field="2" type="button" dataOnly="0" labelOnly="1" outline="0" axis="axisCol" fieldPosition="0"/>
    </format>
    <format dxfId="6">
      <pivotArea type="topRight" dataOnly="0" labelOnly="1" outline="0" fieldPosition="0"/>
    </format>
    <format dxfId="7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2" count="0"/>
        </references>
      </pivotArea>
    </format>
    <format dxfId="11">
      <pivotArea dataOnly="0" labelOnly="1" grandCol="1" outline="0" fieldPosition="0"/>
    </format>
    <format dxfId="1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1EE110-6A73-439B-B62D-1BF690F39740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Date" tableColumnId="1"/>
      <queryTableField id="2" name="Month" tableColumnId="2"/>
      <queryTableField id="3" name="Symbol" tableColumnId="3"/>
      <queryTableField id="4" name="Open" tableColumnId="4"/>
      <queryTableField id="5" name="High" tableColumnId="5"/>
      <queryTableField id="6" name="Low" tableColumnId="6"/>
      <queryTableField id="7" name="Close" tableColumnId="7"/>
      <queryTableField id="8" name="Volume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73A55-94C7-407B-9127-EB6C34E4EF65}" name="data" displayName="data" ref="A1:J615" tableType="queryTable" totalsRowShown="0">
  <autoFilter ref="A1:J615" xr:uid="{9A073A55-94C7-407B-9127-EB6C34E4EF65}">
    <filterColumn colId="2">
      <filters>
        <filter val="SP500"/>
      </filters>
    </filterColumn>
  </autoFilter>
  <sortState xmlns:xlrd2="http://schemas.microsoft.com/office/spreadsheetml/2017/richdata2" ref="A2:J253">
    <sortCondition descending="1" ref="A1:A615"/>
  </sortState>
  <tableColumns count="10">
    <tableColumn id="1" xr3:uid="{50A217A7-A6F9-426B-993C-1A306589E8C0}" uniqueName="1" name="Date" queryTableFieldId="1" dataDxfId="20"/>
    <tableColumn id="2" xr3:uid="{FCB632D9-11E4-4163-BF73-F10075F2E38B}" uniqueName="2" name="Month" queryTableFieldId="2" dataDxfId="19"/>
    <tableColumn id="3" xr3:uid="{01A53AB1-D567-42DB-BDA1-5BB9CC9428C2}" uniqueName="3" name="Symbol" queryTableFieldId="3" dataDxfId="18"/>
    <tableColumn id="4" xr3:uid="{BA636577-2B57-477A-AB42-097D6C4EFC8B}" uniqueName="4" name="Open" queryTableFieldId="4"/>
    <tableColumn id="5" xr3:uid="{8DF624F4-063B-4106-9D28-CE50ADDE5CA4}" uniqueName="5" name="High" queryTableFieldId="5"/>
    <tableColumn id="6" xr3:uid="{3781F98E-9D4B-49B8-85B1-CF04261D7E6B}" uniqueName="6" name="Low" queryTableFieldId="6"/>
    <tableColumn id="7" xr3:uid="{25304A82-1887-4288-AF5F-204607E9921D}" uniqueName="7" name="Close" queryTableFieldId="7"/>
    <tableColumn id="8" xr3:uid="{5488F7B2-3042-4E90-A4B3-507C802AAA74}" uniqueName="8" name="Volume" queryTableFieldId="8"/>
    <tableColumn id="9" xr3:uid="{6BB7F636-90BF-41C4-9694-F14E69F5D379}" uniqueName="9" name="Trimmed Monht" queryTableFieldId="9" dataDxfId="17">
      <calculatedColumnFormula>TRIM(B2)</calculatedColumnFormula>
    </tableColumn>
    <tableColumn id="10" xr3:uid="{AAA38325-8C94-437A-8CF9-77BCBE400D65}" uniqueName="10" name="Trimmed Symbol" queryTableFieldId="10" dataDxfId="16">
      <calculatedColumnFormula>TRIM(C2)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49154E-A2DC-4E01-A342-325F7692BE39}" name="Table2" displayName="Table2" ref="A1:D3" totalsRowShown="0">
  <autoFilter ref="A1:D3" xr:uid="{0449154E-A2DC-4E01-A342-325F7692BE39}"/>
  <tableColumns count="4">
    <tableColumn id="1" xr3:uid="{9B28F923-587E-4D86-A35C-5C9269CBD438}" name="Symbol"/>
    <tableColumn id="2" xr3:uid="{D3876E8B-33AC-492A-A836-7DA6219950EC}" name="First Open 2021" dataDxfId="14"/>
    <tableColumn id="3" xr3:uid="{A5C71E56-381F-407F-8B57-0173C5C238E8}" name="Last Close" dataDxfId="12" dataCellStyle="Currency"/>
    <tableColumn id="4" xr3:uid="{38D77F95-B974-40D3-B3DA-F140EBF9032A}" name="% UP" dataDxfId="13">
      <calculatedColumnFormula>(C2-B2)/B2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1E662E-A691-4E58-B603-3F94D834B906}" name="Table4" displayName="Table4" ref="A1:D1048576" totalsRowShown="0">
  <autoFilter ref="A1:D1048576" xr:uid="{521E662E-A691-4E58-B603-3F94D834B906}"/>
  <tableColumns count="4">
    <tableColumn id="1" xr3:uid="{7F530817-6ECA-4336-95C4-2CF6E9256DEB}" name="Symbol"/>
    <tableColumn id="2" xr3:uid="{E454B429-0FC9-46B8-93F4-49A9727FB471}" name="Highest High"/>
    <tableColumn id="3" xr3:uid="{4BA07FF6-A4D2-4A8C-84A0-BF48C31FB41F}" name="Lowest Low"/>
    <tableColumn id="4" xr3:uid="{33E58B32-2A8A-4941-83B0-5E3FADA34ABB}" name="Low as % of High" dataDxfId="15">
      <calculatedColumnFormula>C2/B2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B278-24A8-4726-A75B-DC47B8422537}">
  <dimension ref="A1:I365"/>
  <sheetViews>
    <sheetView workbookViewId="0">
      <selection activeCell="F2" sqref="F2"/>
    </sheetView>
  </sheetViews>
  <sheetFormatPr defaultRowHeight="15.6" x14ac:dyDescent="0.3"/>
  <cols>
    <col min="1" max="1" width="14.8984375" bestFit="1" customWidth="1"/>
    <col min="2" max="2" width="15.19921875" bestFit="1" customWidth="1"/>
    <col min="3" max="4" width="11.8984375" bestFit="1" customWidth="1"/>
    <col min="6" max="6" width="14.19921875" bestFit="1" customWidth="1"/>
    <col min="7" max="7" width="15.19921875" bestFit="1" customWidth="1"/>
    <col min="8" max="8" width="11.8984375" bestFit="1" customWidth="1"/>
    <col min="9" max="9" width="10.8984375" bestFit="1" customWidth="1"/>
  </cols>
  <sheetData>
    <row r="1" spans="1:9" x14ac:dyDescent="0.3">
      <c r="A1" s="10" t="s">
        <v>46</v>
      </c>
      <c r="B1" s="10" t="s">
        <v>45</v>
      </c>
      <c r="C1" s="5"/>
      <c r="D1" s="5"/>
      <c r="F1" s="3" t="s">
        <v>47</v>
      </c>
      <c r="G1" s="3" t="s">
        <v>45</v>
      </c>
    </row>
    <row r="2" spans="1:9" x14ac:dyDescent="0.3">
      <c r="A2" s="10" t="s">
        <v>43</v>
      </c>
      <c r="B2" s="5" t="s">
        <v>9</v>
      </c>
      <c r="C2" s="5" t="s">
        <v>22</v>
      </c>
      <c r="D2" s="5" t="s">
        <v>44</v>
      </c>
      <c r="F2" s="3" t="s">
        <v>43</v>
      </c>
      <c r="G2" t="s">
        <v>9</v>
      </c>
      <c r="H2" t="s">
        <v>22</v>
      </c>
      <c r="I2" t="s">
        <v>44</v>
      </c>
    </row>
    <row r="3" spans="1:9" x14ac:dyDescent="0.3">
      <c r="A3" s="11" t="s">
        <v>8</v>
      </c>
      <c r="B3" s="5">
        <v>34834.917142857143</v>
      </c>
      <c r="C3" s="5">
        <v>3793.7484210526318</v>
      </c>
      <c r="D3" s="12">
        <v>22286.359574468082</v>
      </c>
      <c r="F3" s="4">
        <v>44200</v>
      </c>
      <c r="G3">
        <v>33669</v>
      </c>
      <c r="H3">
        <v>3769.99</v>
      </c>
      <c r="I3" s="13">
        <v>18719.494999999999</v>
      </c>
    </row>
    <row r="4" spans="1:9" x14ac:dyDescent="0.3">
      <c r="A4" s="11" t="s">
        <v>10</v>
      </c>
      <c r="B4" s="5">
        <v>46419.369642857135</v>
      </c>
      <c r="C4" s="5">
        <v>3883.4321052631581</v>
      </c>
      <c r="D4" s="12">
        <v>29223.990638297873</v>
      </c>
      <c r="F4" s="4">
        <v>44201</v>
      </c>
      <c r="G4">
        <v>34536.29</v>
      </c>
      <c r="H4">
        <v>3737.83</v>
      </c>
      <c r="I4" s="13">
        <v>19137.060000000001</v>
      </c>
    </row>
    <row r="5" spans="1:9" x14ac:dyDescent="0.3">
      <c r="A5" s="11" t="s">
        <v>11</v>
      </c>
      <c r="B5" s="5">
        <v>54755.574516129025</v>
      </c>
      <c r="C5" s="5">
        <v>3910.5082608695661</v>
      </c>
      <c r="D5" s="12">
        <v>33099.342592592599</v>
      </c>
      <c r="F5" s="4">
        <v>44202</v>
      </c>
      <c r="G5">
        <v>37824.480000000003</v>
      </c>
      <c r="H5">
        <v>3783.04</v>
      </c>
      <c r="I5" s="13">
        <v>20803.760000000002</v>
      </c>
    </row>
    <row r="6" spans="1:9" x14ac:dyDescent="0.3">
      <c r="A6" s="11" t="s">
        <v>12</v>
      </c>
      <c r="B6" s="5">
        <v>57053.804666666656</v>
      </c>
      <c r="C6" s="5">
        <v>4141.1761904761906</v>
      </c>
      <c r="D6" s="12">
        <v>35266.251764705863</v>
      </c>
      <c r="F6" s="4">
        <v>44203</v>
      </c>
      <c r="G6">
        <v>40396</v>
      </c>
      <c r="H6">
        <v>3811.55</v>
      </c>
      <c r="I6" s="13">
        <v>22103.775000000001</v>
      </c>
    </row>
    <row r="7" spans="1:9" x14ac:dyDescent="0.3">
      <c r="A7" s="11" t="s">
        <v>13</v>
      </c>
      <c r="B7" s="5">
        <v>46391.942580645162</v>
      </c>
      <c r="C7" s="5">
        <v>4167.8495000000003</v>
      </c>
      <c r="D7" s="12">
        <v>29833.47470588236</v>
      </c>
      <c r="F7" s="4">
        <v>44204</v>
      </c>
      <c r="G7">
        <v>41999.99</v>
      </c>
      <c r="H7">
        <v>3826.69</v>
      </c>
      <c r="I7" s="13">
        <v>22913.34</v>
      </c>
    </row>
    <row r="8" spans="1:9" x14ac:dyDescent="0.3">
      <c r="A8" s="11" t="s">
        <v>14</v>
      </c>
      <c r="B8" s="5">
        <v>35718.237000000001</v>
      </c>
      <c r="C8" s="5">
        <v>4238.4895454545449</v>
      </c>
      <c r="D8" s="12">
        <v>22399.882307692314</v>
      </c>
      <c r="F8" s="4">
        <v>44205</v>
      </c>
      <c r="G8">
        <v>41470.21</v>
      </c>
      <c r="I8" s="13">
        <v>41470.21</v>
      </c>
    </row>
    <row r="9" spans="1:9" x14ac:dyDescent="0.3">
      <c r="A9" s="11" t="s">
        <v>15</v>
      </c>
      <c r="B9" s="5">
        <v>34427.995806451603</v>
      </c>
      <c r="C9" s="5">
        <v>4363.7128571428566</v>
      </c>
      <c r="D9" s="12">
        <v>22286.650769230757</v>
      </c>
      <c r="F9" s="4">
        <v>44206</v>
      </c>
      <c r="G9">
        <v>41196.620000000003</v>
      </c>
      <c r="I9" s="13">
        <v>41196.620000000003</v>
      </c>
    </row>
    <row r="10" spans="1:9" x14ac:dyDescent="0.3">
      <c r="A10" s="11" t="s">
        <v>16</v>
      </c>
      <c r="B10" s="5">
        <v>45619.235161290337</v>
      </c>
      <c r="C10" s="5">
        <v>4453.9659090909099</v>
      </c>
      <c r="D10" s="12">
        <v>28531.764905660388</v>
      </c>
      <c r="F10" s="4">
        <v>44207</v>
      </c>
      <c r="G10">
        <v>36323.25</v>
      </c>
      <c r="H10">
        <v>3817.86</v>
      </c>
      <c r="I10" s="13">
        <v>20070.555</v>
      </c>
    </row>
    <row r="11" spans="1:9" x14ac:dyDescent="0.3">
      <c r="A11" s="11" t="s">
        <v>17</v>
      </c>
      <c r="B11" s="5">
        <v>46034.195333333329</v>
      </c>
      <c r="C11" s="5">
        <v>4445.5433333333331</v>
      </c>
      <c r="D11" s="12">
        <v>28909.456274509801</v>
      </c>
      <c r="F11" s="4">
        <v>44208</v>
      </c>
      <c r="G11">
        <v>36651.339999999997</v>
      </c>
      <c r="H11">
        <v>3810.78</v>
      </c>
      <c r="I11" s="13">
        <v>20231.059999999998</v>
      </c>
    </row>
    <row r="12" spans="1:9" x14ac:dyDescent="0.3">
      <c r="A12" s="11" t="s">
        <v>18</v>
      </c>
      <c r="B12" s="5">
        <v>58089.664516129036</v>
      </c>
      <c r="C12" s="5">
        <v>4460.7071428571435</v>
      </c>
      <c r="D12" s="12">
        <v>36431.816346153842</v>
      </c>
      <c r="F12" s="4">
        <v>44209</v>
      </c>
      <c r="G12">
        <v>38188.33</v>
      </c>
      <c r="H12">
        <v>3820.96</v>
      </c>
      <c r="I12" s="13">
        <v>21004.645</v>
      </c>
    </row>
    <row r="13" spans="1:9" x14ac:dyDescent="0.3">
      <c r="A13" s="11" t="s">
        <v>19</v>
      </c>
      <c r="B13" s="5">
        <v>60560.541333333342</v>
      </c>
      <c r="C13" s="5">
        <v>4667.3866666666654</v>
      </c>
      <c r="D13" s="12">
        <v>37545.712941176469</v>
      </c>
      <c r="F13" s="4">
        <v>44210</v>
      </c>
      <c r="G13">
        <v>40112.79</v>
      </c>
      <c r="H13">
        <v>3823.6</v>
      </c>
      <c r="I13" s="13">
        <v>21968.195</v>
      </c>
    </row>
    <row r="14" spans="1:9" x14ac:dyDescent="0.3">
      <c r="A14" s="11" t="s">
        <v>20</v>
      </c>
      <c r="B14" s="5">
        <v>49299.97516129032</v>
      </c>
      <c r="C14" s="5">
        <v>4674.7727272727279</v>
      </c>
      <c r="D14" s="12">
        <v>30776.306226415094</v>
      </c>
      <c r="F14" s="4">
        <v>44211</v>
      </c>
      <c r="G14">
        <v>38849.96</v>
      </c>
      <c r="H14">
        <v>3788.73</v>
      </c>
      <c r="I14" s="13">
        <v>21319.345000000001</v>
      </c>
    </row>
    <row r="15" spans="1:9" x14ac:dyDescent="0.3">
      <c r="A15" s="11" t="s">
        <v>44</v>
      </c>
      <c r="B15" s="5">
        <v>47519.998342541403</v>
      </c>
      <c r="C15" s="5">
        <v>4273.3856349206344</v>
      </c>
      <c r="D15" s="12">
        <v>29770.574234527685</v>
      </c>
      <c r="F15" s="4">
        <v>44212</v>
      </c>
      <c r="G15">
        <v>37949.71</v>
      </c>
      <c r="I15" s="13">
        <v>37949.71</v>
      </c>
    </row>
    <row r="16" spans="1:9" x14ac:dyDescent="0.3">
      <c r="F16" s="4">
        <v>44213</v>
      </c>
      <c r="G16">
        <v>36840.11</v>
      </c>
      <c r="I16" s="13">
        <v>36840.11</v>
      </c>
    </row>
    <row r="17" spans="6:9" x14ac:dyDescent="0.3">
      <c r="F17" s="4">
        <v>44214</v>
      </c>
      <c r="G17">
        <v>37469.21</v>
      </c>
      <c r="I17" s="13">
        <v>37469.21</v>
      </c>
    </row>
    <row r="18" spans="6:9" x14ac:dyDescent="0.3">
      <c r="F18" s="4">
        <v>44215</v>
      </c>
      <c r="G18">
        <v>37934.199999999997</v>
      </c>
      <c r="H18">
        <v>3804.53</v>
      </c>
      <c r="I18" s="13">
        <v>20869.364999999998</v>
      </c>
    </row>
    <row r="19" spans="6:9" x14ac:dyDescent="0.3">
      <c r="F19" s="4">
        <v>44216</v>
      </c>
      <c r="G19">
        <v>35964.949999999997</v>
      </c>
      <c r="H19">
        <v>3859.75</v>
      </c>
      <c r="I19" s="13">
        <v>19912.349999999999</v>
      </c>
    </row>
    <row r="20" spans="6:9" x14ac:dyDescent="0.3">
      <c r="F20" s="4">
        <v>44217</v>
      </c>
      <c r="G20">
        <v>35000</v>
      </c>
      <c r="H20">
        <v>3861.45</v>
      </c>
      <c r="I20" s="13">
        <v>19430.724999999999</v>
      </c>
    </row>
    <row r="21" spans="6:9" x14ac:dyDescent="0.3">
      <c r="F21" s="4">
        <v>44218</v>
      </c>
      <c r="G21">
        <v>33880</v>
      </c>
      <c r="H21">
        <v>3852.31</v>
      </c>
      <c r="I21" s="13">
        <v>18866.154999999999</v>
      </c>
    </row>
    <row r="22" spans="6:9" x14ac:dyDescent="0.3">
      <c r="F22" s="4">
        <v>44219</v>
      </c>
      <c r="G22">
        <v>33479.49</v>
      </c>
      <c r="I22" s="13">
        <v>33479.49</v>
      </c>
    </row>
    <row r="23" spans="6:9" x14ac:dyDescent="0.3">
      <c r="F23" s="4">
        <v>44220</v>
      </c>
      <c r="G23">
        <v>33672.18</v>
      </c>
      <c r="I23" s="13">
        <v>33672.18</v>
      </c>
    </row>
    <row r="24" spans="6:9" x14ac:dyDescent="0.3">
      <c r="F24" s="4">
        <v>44221</v>
      </c>
      <c r="G24">
        <v>34885.56</v>
      </c>
      <c r="H24">
        <v>3859.23</v>
      </c>
      <c r="I24" s="13">
        <v>19372.395</v>
      </c>
    </row>
    <row r="25" spans="6:9" x14ac:dyDescent="0.3">
      <c r="F25" s="4">
        <v>44222</v>
      </c>
      <c r="G25">
        <v>32951</v>
      </c>
      <c r="H25">
        <v>3870.9</v>
      </c>
      <c r="I25" s="13">
        <v>18410.95</v>
      </c>
    </row>
    <row r="26" spans="6:9" x14ac:dyDescent="0.3">
      <c r="F26" s="4">
        <v>44223</v>
      </c>
      <c r="G26">
        <v>32059.73</v>
      </c>
      <c r="H26">
        <v>3836.83</v>
      </c>
      <c r="I26" s="13">
        <v>17948.28</v>
      </c>
    </row>
    <row r="27" spans="6:9" x14ac:dyDescent="0.3">
      <c r="F27" s="4">
        <v>44224</v>
      </c>
      <c r="G27">
        <v>34671.769999999997</v>
      </c>
      <c r="H27">
        <v>3830.5</v>
      </c>
      <c r="I27" s="13">
        <v>19251.134999999998</v>
      </c>
    </row>
    <row r="28" spans="6:9" x14ac:dyDescent="0.3">
      <c r="F28" s="4">
        <v>44225</v>
      </c>
      <c r="G28">
        <v>38665.71</v>
      </c>
      <c r="H28">
        <v>3778.05</v>
      </c>
      <c r="I28" s="13">
        <v>21221.88</v>
      </c>
    </row>
    <row r="29" spans="6:9" x14ac:dyDescent="0.3">
      <c r="F29" s="4">
        <v>44226</v>
      </c>
      <c r="G29">
        <v>34805.65</v>
      </c>
      <c r="I29" s="13">
        <v>34805.65</v>
      </c>
    </row>
    <row r="30" spans="6:9" x14ac:dyDescent="0.3">
      <c r="F30" s="4">
        <v>44227</v>
      </c>
      <c r="G30">
        <v>34205</v>
      </c>
      <c r="I30" s="13">
        <v>34205</v>
      </c>
    </row>
    <row r="31" spans="6:9" x14ac:dyDescent="0.3">
      <c r="F31" s="4">
        <v>44228</v>
      </c>
      <c r="G31">
        <v>34700</v>
      </c>
      <c r="H31">
        <v>3784.32</v>
      </c>
      <c r="I31" s="13">
        <v>19242.16</v>
      </c>
    </row>
    <row r="32" spans="6:9" x14ac:dyDescent="0.3">
      <c r="F32" s="4">
        <v>44229</v>
      </c>
      <c r="G32">
        <v>36545.050000000003</v>
      </c>
      <c r="H32">
        <v>3843.09</v>
      </c>
      <c r="I32" s="13">
        <v>20194.07</v>
      </c>
    </row>
    <row r="33" spans="6:9" x14ac:dyDescent="0.3">
      <c r="F33" s="4">
        <v>44230</v>
      </c>
      <c r="G33">
        <v>38375</v>
      </c>
      <c r="H33">
        <v>3847.51</v>
      </c>
      <c r="I33" s="13">
        <v>21111.255000000001</v>
      </c>
    </row>
    <row r="34" spans="6:9" x14ac:dyDescent="0.3">
      <c r="F34" s="4">
        <v>44231</v>
      </c>
      <c r="G34">
        <v>38785.99</v>
      </c>
      <c r="H34">
        <v>3872.42</v>
      </c>
      <c r="I34" s="13">
        <v>21329.204999999998</v>
      </c>
    </row>
    <row r="35" spans="6:9" x14ac:dyDescent="0.3">
      <c r="F35" s="4">
        <v>44232</v>
      </c>
      <c r="G35">
        <v>39700</v>
      </c>
      <c r="H35">
        <v>3894.56</v>
      </c>
      <c r="I35" s="13">
        <v>21797.279999999999</v>
      </c>
    </row>
    <row r="36" spans="6:9" x14ac:dyDescent="0.3">
      <c r="F36" s="4">
        <v>44233</v>
      </c>
      <c r="G36">
        <v>41000</v>
      </c>
      <c r="I36" s="13">
        <v>41000</v>
      </c>
    </row>
    <row r="37" spans="6:9" x14ac:dyDescent="0.3">
      <c r="F37" s="4">
        <v>44234</v>
      </c>
      <c r="G37">
        <v>39748.959999999999</v>
      </c>
      <c r="I37" s="13">
        <v>39748.959999999999</v>
      </c>
    </row>
    <row r="38" spans="6:9" x14ac:dyDescent="0.3">
      <c r="F38" s="4">
        <v>44235</v>
      </c>
      <c r="G38">
        <v>47519.31</v>
      </c>
      <c r="H38">
        <v>3915.77</v>
      </c>
      <c r="I38" s="13">
        <v>25717.539999999997</v>
      </c>
    </row>
    <row r="39" spans="6:9" x14ac:dyDescent="0.3">
      <c r="F39" s="4">
        <v>44236</v>
      </c>
      <c r="G39">
        <v>48201.23</v>
      </c>
      <c r="H39">
        <v>3918.35</v>
      </c>
      <c r="I39" s="13">
        <v>26059.79</v>
      </c>
    </row>
    <row r="40" spans="6:9" x14ac:dyDescent="0.3">
      <c r="F40" s="4">
        <v>44237</v>
      </c>
      <c r="G40">
        <v>47367.17</v>
      </c>
      <c r="H40">
        <v>3931.5</v>
      </c>
      <c r="I40" s="13">
        <v>25649.334999999999</v>
      </c>
    </row>
    <row r="41" spans="6:9" x14ac:dyDescent="0.3">
      <c r="F41" s="4">
        <v>44238</v>
      </c>
      <c r="G41">
        <v>48975</v>
      </c>
      <c r="H41">
        <v>3925.99</v>
      </c>
      <c r="I41" s="13">
        <v>26450.494999999999</v>
      </c>
    </row>
    <row r="42" spans="6:9" x14ac:dyDescent="0.3">
      <c r="F42" s="4">
        <v>44239</v>
      </c>
      <c r="G42">
        <v>48246.6</v>
      </c>
      <c r="H42">
        <v>3937.23</v>
      </c>
      <c r="I42" s="13">
        <v>26091.915000000001</v>
      </c>
    </row>
    <row r="43" spans="6:9" x14ac:dyDescent="0.3">
      <c r="F43" s="4">
        <v>44240</v>
      </c>
      <c r="G43">
        <v>48027.3</v>
      </c>
      <c r="I43" s="13">
        <v>48027.3</v>
      </c>
    </row>
    <row r="44" spans="6:9" x14ac:dyDescent="0.3">
      <c r="F44" s="4">
        <v>44241</v>
      </c>
      <c r="G44">
        <v>49700</v>
      </c>
      <c r="I44" s="13">
        <v>49700</v>
      </c>
    </row>
    <row r="45" spans="6:9" x14ac:dyDescent="0.3">
      <c r="F45" s="4">
        <v>44242</v>
      </c>
      <c r="G45">
        <v>49600</v>
      </c>
      <c r="I45" s="13">
        <v>49600</v>
      </c>
    </row>
    <row r="46" spans="6:9" x14ac:dyDescent="0.3">
      <c r="F46" s="4">
        <v>44243</v>
      </c>
      <c r="G46">
        <v>50602.34</v>
      </c>
      <c r="H46">
        <v>3950.43</v>
      </c>
      <c r="I46" s="13">
        <v>27276.384999999998</v>
      </c>
    </row>
    <row r="47" spans="6:9" x14ac:dyDescent="0.3">
      <c r="F47" s="4">
        <v>44244</v>
      </c>
      <c r="G47">
        <v>52668.45</v>
      </c>
      <c r="H47">
        <v>3933.61</v>
      </c>
      <c r="I47" s="13">
        <v>28301.03</v>
      </c>
    </row>
    <row r="48" spans="6:9" x14ac:dyDescent="0.3">
      <c r="F48" s="4">
        <v>44245</v>
      </c>
      <c r="G48">
        <v>52344</v>
      </c>
      <c r="H48">
        <v>3921.98</v>
      </c>
      <c r="I48" s="13">
        <v>28132.99</v>
      </c>
    </row>
    <row r="49" spans="6:9" x14ac:dyDescent="0.3">
      <c r="F49" s="4">
        <v>44246</v>
      </c>
      <c r="G49">
        <v>56605.599999999999</v>
      </c>
      <c r="H49">
        <v>3930.41</v>
      </c>
      <c r="I49" s="13">
        <v>30268.004999999997</v>
      </c>
    </row>
    <row r="50" spans="6:9" x14ac:dyDescent="0.3">
      <c r="F50" s="4">
        <v>44247</v>
      </c>
      <c r="G50">
        <v>57500</v>
      </c>
      <c r="I50" s="13">
        <v>57500</v>
      </c>
    </row>
    <row r="51" spans="6:9" x14ac:dyDescent="0.3">
      <c r="F51" s="4">
        <v>44248</v>
      </c>
      <c r="G51">
        <v>58481.599999999999</v>
      </c>
      <c r="I51" s="13">
        <v>58481.599999999999</v>
      </c>
    </row>
    <row r="52" spans="6:9" x14ac:dyDescent="0.3">
      <c r="F52" s="4">
        <v>44249</v>
      </c>
      <c r="G52">
        <v>56651.47</v>
      </c>
      <c r="H52">
        <v>3902.92</v>
      </c>
      <c r="I52" s="13">
        <v>30277.195</v>
      </c>
    </row>
    <row r="53" spans="6:9" x14ac:dyDescent="0.3">
      <c r="F53" s="4">
        <v>44250</v>
      </c>
      <c r="G53">
        <v>52294.87</v>
      </c>
      <c r="H53">
        <v>3895.98</v>
      </c>
      <c r="I53" s="13">
        <v>28095.425000000003</v>
      </c>
    </row>
    <row r="54" spans="6:9" x14ac:dyDescent="0.3">
      <c r="F54" s="4">
        <v>44251</v>
      </c>
      <c r="G54">
        <v>51442.01</v>
      </c>
      <c r="H54">
        <v>3928.65</v>
      </c>
      <c r="I54" s="13">
        <v>27685.33</v>
      </c>
    </row>
    <row r="55" spans="6:9" x14ac:dyDescent="0.3">
      <c r="F55" s="4">
        <v>44252</v>
      </c>
      <c r="G55">
        <v>52074</v>
      </c>
      <c r="H55">
        <v>3925.02</v>
      </c>
      <c r="I55" s="13">
        <v>27999.51</v>
      </c>
    </row>
    <row r="56" spans="6:9" x14ac:dyDescent="0.3">
      <c r="F56" s="4">
        <v>44253</v>
      </c>
      <c r="G56">
        <v>48472.08</v>
      </c>
      <c r="H56">
        <v>3861.08</v>
      </c>
      <c r="I56" s="13">
        <v>26166.58</v>
      </c>
    </row>
    <row r="57" spans="6:9" x14ac:dyDescent="0.3">
      <c r="F57" s="4">
        <v>44254</v>
      </c>
      <c r="G57">
        <v>48380.14</v>
      </c>
      <c r="I57" s="13">
        <v>48380.14</v>
      </c>
    </row>
    <row r="58" spans="6:9" x14ac:dyDescent="0.3">
      <c r="F58" s="4">
        <v>44255</v>
      </c>
      <c r="G58">
        <v>46920</v>
      </c>
      <c r="I58" s="13">
        <v>46920</v>
      </c>
    </row>
    <row r="59" spans="6:9" x14ac:dyDescent="0.3">
      <c r="F59" s="4">
        <v>44256</v>
      </c>
      <c r="H59">
        <v>3914.5</v>
      </c>
      <c r="I59" s="13">
        <v>3914.5</v>
      </c>
    </row>
    <row r="60" spans="6:9" x14ac:dyDescent="0.3">
      <c r="F60" s="4">
        <v>44257</v>
      </c>
      <c r="G60">
        <v>49757.22</v>
      </c>
      <c r="H60">
        <v>3906.41</v>
      </c>
      <c r="I60" s="13">
        <v>26831.815000000002</v>
      </c>
    </row>
    <row r="61" spans="6:9" x14ac:dyDescent="0.3">
      <c r="F61" s="4">
        <v>44258</v>
      </c>
      <c r="G61">
        <v>52737.2</v>
      </c>
      <c r="H61">
        <v>3874.47</v>
      </c>
      <c r="I61" s="13">
        <v>28305.834999999999</v>
      </c>
    </row>
    <row r="62" spans="6:9" x14ac:dyDescent="0.3">
      <c r="F62" s="4">
        <v>44259</v>
      </c>
      <c r="G62">
        <v>50754.39</v>
      </c>
      <c r="H62">
        <v>3843.67</v>
      </c>
      <c r="I62" s="13">
        <v>27299.03</v>
      </c>
    </row>
    <row r="63" spans="6:9" x14ac:dyDescent="0.3">
      <c r="F63" s="4">
        <v>44260</v>
      </c>
      <c r="G63">
        <v>49455.61</v>
      </c>
      <c r="H63">
        <v>3851.69</v>
      </c>
      <c r="I63" s="13">
        <v>26653.65</v>
      </c>
    </row>
    <row r="64" spans="6:9" x14ac:dyDescent="0.3">
      <c r="F64" s="4">
        <v>44261</v>
      </c>
      <c r="G64">
        <v>49915.73</v>
      </c>
      <c r="I64" s="13">
        <v>49915.73</v>
      </c>
    </row>
    <row r="65" spans="6:9" x14ac:dyDescent="0.3">
      <c r="F65" s="4">
        <v>44262</v>
      </c>
      <c r="G65">
        <v>51832.15</v>
      </c>
      <c r="I65" s="13">
        <v>51832.15</v>
      </c>
    </row>
    <row r="66" spans="6:9" x14ac:dyDescent="0.3">
      <c r="F66" s="4">
        <v>44263</v>
      </c>
      <c r="G66">
        <v>54126</v>
      </c>
      <c r="H66">
        <v>3881.06</v>
      </c>
      <c r="I66" s="13">
        <v>29003.53</v>
      </c>
    </row>
    <row r="67" spans="6:9" x14ac:dyDescent="0.3">
      <c r="F67" s="4">
        <v>44264</v>
      </c>
      <c r="G67">
        <v>55847.68</v>
      </c>
      <c r="H67">
        <v>3903.76</v>
      </c>
      <c r="I67" s="13">
        <v>29875.72</v>
      </c>
    </row>
    <row r="68" spans="6:9" x14ac:dyDescent="0.3">
      <c r="F68" s="4">
        <v>44265</v>
      </c>
      <c r="G68">
        <v>57400</v>
      </c>
      <c r="H68">
        <v>3917.35</v>
      </c>
      <c r="I68" s="13">
        <v>30658.674999999999</v>
      </c>
    </row>
    <row r="69" spans="6:9" x14ac:dyDescent="0.3">
      <c r="F69" s="4">
        <v>44266</v>
      </c>
      <c r="G69">
        <v>58120</v>
      </c>
      <c r="H69">
        <v>3960.27</v>
      </c>
      <c r="I69" s="13">
        <v>31040.134999999998</v>
      </c>
    </row>
    <row r="70" spans="6:9" x14ac:dyDescent="0.3">
      <c r="F70" s="4">
        <v>44267</v>
      </c>
      <c r="G70">
        <v>57959.22</v>
      </c>
      <c r="H70">
        <v>3944.99</v>
      </c>
      <c r="I70" s="13">
        <v>30952.105</v>
      </c>
    </row>
    <row r="71" spans="6:9" x14ac:dyDescent="0.3">
      <c r="F71" s="4">
        <v>44268</v>
      </c>
      <c r="G71">
        <v>61785</v>
      </c>
      <c r="I71" s="13">
        <v>61785</v>
      </c>
    </row>
    <row r="72" spans="6:9" x14ac:dyDescent="0.3">
      <c r="F72" s="4">
        <v>44269</v>
      </c>
      <c r="G72">
        <v>61500.82</v>
      </c>
      <c r="I72" s="13">
        <v>61500.82</v>
      </c>
    </row>
    <row r="73" spans="6:9" x14ac:dyDescent="0.3">
      <c r="F73" s="4">
        <v>44270</v>
      </c>
      <c r="G73">
        <v>60561.59</v>
      </c>
      <c r="H73">
        <v>3970.08</v>
      </c>
      <c r="I73" s="13">
        <v>32265.834999999999</v>
      </c>
    </row>
    <row r="74" spans="6:9" x14ac:dyDescent="0.3">
      <c r="F74" s="4">
        <v>44271</v>
      </c>
      <c r="G74">
        <v>57185.78</v>
      </c>
      <c r="H74">
        <v>3981.04</v>
      </c>
      <c r="I74" s="13">
        <v>30583.41</v>
      </c>
    </row>
    <row r="75" spans="6:9" x14ac:dyDescent="0.3">
      <c r="F75" s="4">
        <v>44272</v>
      </c>
      <c r="G75">
        <v>59567.59</v>
      </c>
      <c r="H75">
        <v>3983.87</v>
      </c>
      <c r="I75" s="13">
        <v>31775.73</v>
      </c>
    </row>
    <row r="76" spans="6:9" x14ac:dyDescent="0.3">
      <c r="F76" s="4">
        <v>44273</v>
      </c>
      <c r="G76">
        <v>60099.99</v>
      </c>
      <c r="H76">
        <v>3969.62</v>
      </c>
      <c r="I76" s="13">
        <v>32034.805</v>
      </c>
    </row>
    <row r="77" spans="6:9" x14ac:dyDescent="0.3">
      <c r="F77" s="4">
        <v>44274</v>
      </c>
      <c r="G77">
        <v>59448.39</v>
      </c>
      <c r="H77">
        <v>3930.12</v>
      </c>
      <c r="I77" s="13">
        <v>31689.255000000001</v>
      </c>
    </row>
    <row r="78" spans="6:9" x14ac:dyDescent="0.3">
      <c r="F78" s="4">
        <v>44275</v>
      </c>
      <c r="G78">
        <v>59880</v>
      </c>
      <c r="I78" s="13">
        <v>59880</v>
      </c>
    </row>
    <row r="79" spans="6:9" x14ac:dyDescent="0.3">
      <c r="F79" s="4">
        <v>44276</v>
      </c>
      <c r="G79">
        <v>58164.58</v>
      </c>
      <c r="I79" s="13">
        <v>58164.58</v>
      </c>
    </row>
    <row r="80" spans="6:9" x14ac:dyDescent="0.3">
      <c r="F80" s="4">
        <v>44277</v>
      </c>
      <c r="G80">
        <v>58445.36</v>
      </c>
      <c r="H80">
        <v>3955.31</v>
      </c>
      <c r="I80" s="13">
        <v>31200.334999999999</v>
      </c>
    </row>
    <row r="81" spans="6:9" x14ac:dyDescent="0.3">
      <c r="F81" s="4">
        <v>44278</v>
      </c>
      <c r="G81">
        <v>55903.62</v>
      </c>
      <c r="H81">
        <v>3949.13</v>
      </c>
      <c r="I81" s="13">
        <v>29926.375</v>
      </c>
    </row>
    <row r="82" spans="6:9" x14ac:dyDescent="0.3">
      <c r="F82" s="4">
        <v>44279</v>
      </c>
      <c r="G82">
        <v>57245</v>
      </c>
      <c r="H82">
        <v>3942.08</v>
      </c>
      <c r="I82" s="13">
        <v>30593.54</v>
      </c>
    </row>
    <row r="83" spans="6:9" x14ac:dyDescent="0.3">
      <c r="F83" s="4">
        <v>44280</v>
      </c>
      <c r="G83">
        <v>53234.52</v>
      </c>
      <c r="H83">
        <v>3919.54</v>
      </c>
      <c r="I83" s="13">
        <v>28577.03</v>
      </c>
    </row>
    <row r="84" spans="6:9" x14ac:dyDescent="0.3">
      <c r="F84" s="4">
        <v>44281</v>
      </c>
      <c r="G84">
        <v>55627.21</v>
      </c>
      <c r="H84">
        <v>3978.19</v>
      </c>
      <c r="I84" s="13">
        <v>29802.7</v>
      </c>
    </row>
    <row r="85" spans="6:9" x14ac:dyDescent="0.3">
      <c r="F85" s="4">
        <v>44282</v>
      </c>
      <c r="G85">
        <v>56624.33</v>
      </c>
      <c r="I85" s="13">
        <v>56624.33</v>
      </c>
    </row>
    <row r="86" spans="6:9" x14ac:dyDescent="0.3">
      <c r="F86" s="4">
        <v>44283</v>
      </c>
      <c r="G86">
        <v>56576.23</v>
      </c>
      <c r="I86" s="13">
        <v>56576.23</v>
      </c>
    </row>
    <row r="87" spans="6:9" x14ac:dyDescent="0.3">
      <c r="F87" s="4">
        <v>44284</v>
      </c>
      <c r="G87">
        <v>58430.77</v>
      </c>
      <c r="H87">
        <v>3981.83</v>
      </c>
      <c r="I87" s="13">
        <v>31206.3</v>
      </c>
    </row>
    <row r="88" spans="6:9" x14ac:dyDescent="0.3">
      <c r="F88" s="4">
        <v>44285</v>
      </c>
      <c r="G88">
        <v>59385</v>
      </c>
      <c r="H88">
        <v>3968.01</v>
      </c>
      <c r="I88" s="13">
        <v>31676.505000000001</v>
      </c>
    </row>
    <row r="89" spans="6:9" x14ac:dyDescent="0.3">
      <c r="F89" s="4">
        <v>44286</v>
      </c>
      <c r="G89">
        <v>59800</v>
      </c>
      <c r="H89">
        <v>3994.41</v>
      </c>
      <c r="I89" s="13">
        <v>31897.205000000002</v>
      </c>
    </row>
    <row r="90" spans="6:9" x14ac:dyDescent="0.3">
      <c r="F90" s="4">
        <v>44287</v>
      </c>
      <c r="G90">
        <v>60100</v>
      </c>
      <c r="H90">
        <v>4020.63</v>
      </c>
      <c r="I90" s="13">
        <v>32060.314999999999</v>
      </c>
    </row>
    <row r="91" spans="6:9" x14ac:dyDescent="0.3">
      <c r="F91" s="4">
        <v>44288</v>
      </c>
      <c r="G91">
        <v>59950</v>
      </c>
      <c r="I91" s="13">
        <v>59950</v>
      </c>
    </row>
    <row r="92" spans="6:9" x14ac:dyDescent="0.3">
      <c r="F92" s="4">
        <v>44289</v>
      </c>
      <c r="G92">
        <v>59851.519999999997</v>
      </c>
      <c r="I92" s="13">
        <v>59851.519999999997</v>
      </c>
    </row>
    <row r="93" spans="6:9" x14ac:dyDescent="0.3">
      <c r="F93" s="4">
        <v>44290</v>
      </c>
      <c r="G93">
        <v>58500.94</v>
      </c>
      <c r="I93" s="13">
        <v>58500.94</v>
      </c>
    </row>
    <row r="94" spans="6:9" x14ac:dyDescent="0.3">
      <c r="F94" s="4">
        <v>44291</v>
      </c>
      <c r="G94">
        <v>59468.95</v>
      </c>
      <c r="H94">
        <v>4083.42</v>
      </c>
      <c r="I94" s="13">
        <v>31776.184999999998</v>
      </c>
    </row>
    <row r="95" spans="6:9" x14ac:dyDescent="0.3">
      <c r="F95" s="4">
        <v>44292</v>
      </c>
      <c r="G95">
        <v>59028.19</v>
      </c>
      <c r="H95">
        <v>4086.23</v>
      </c>
      <c r="I95" s="13">
        <v>31557.210000000003</v>
      </c>
    </row>
    <row r="96" spans="6:9" x14ac:dyDescent="0.3">
      <c r="F96" s="4">
        <v>44293</v>
      </c>
      <c r="G96">
        <v>58675.79</v>
      </c>
      <c r="H96">
        <v>4083.13</v>
      </c>
      <c r="I96" s="13">
        <v>31379.46</v>
      </c>
    </row>
    <row r="97" spans="6:9" x14ac:dyDescent="0.3">
      <c r="F97" s="4">
        <v>44294</v>
      </c>
      <c r="G97">
        <v>58400</v>
      </c>
      <c r="H97">
        <v>4098.1899999999996</v>
      </c>
      <c r="I97" s="13">
        <v>31249.095000000001</v>
      </c>
    </row>
    <row r="98" spans="6:9" x14ac:dyDescent="0.3">
      <c r="F98" s="4">
        <v>44295</v>
      </c>
      <c r="G98">
        <v>59170</v>
      </c>
      <c r="H98">
        <v>4129.4799999999996</v>
      </c>
      <c r="I98" s="13">
        <v>31649.739999999998</v>
      </c>
    </row>
    <row r="99" spans="6:9" x14ac:dyDescent="0.3">
      <c r="F99" s="4">
        <v>44296</v>
      </c>
      <c r="G99">
        <v>61180</v>
      </c>
      <c r="I99" s="13">
        <v>61180</v>
      </c>
    </row>
    <row r="100" spans="6:9" x14ac:dyDescent="0.3">
      <c r="F100" s="4">
        <v>44297</v>
      </c>
      <c r="G100">
        <v>60416.42</v>
      </c>
      <c r="I100" s="13">
        <v>60416.42</v>
      </c>
    </row>
    <row r="101" spans="6:9" x14ac:dyDescent="0.3">
      <c r="F101" s="4">
        <v>44298</v>
      </c>
      <c r="G101">
        <v>61197.09</v>
      </c>
      <c r="H101">
        <v>4131.76</v>
      </c>
      <c r="I101" s="13">
        <v>32664.424999999999</v>
      </c>
    </row>
    <row r="102" spans="6:9" x14ac:dyDescent="0.3">
      <c r="F102" s="4">
        <v>44299</v>
      </c>
      <c r="G102">
        <v>63880</v>
      </c>
      <c r="H102">
        <v>4148</v>
      </c>
      <c r="I102" s="13">
        <v>34014</v>
      </c>
    </row>
    <row r="103" spans="6:9" x14ac:dyDescent="0.3">
      <c r="F103" s="4">
        <v>44300</v>
      </c>
      <c r="G103">
        <v>64900</v>
      </c>
      <c r="H103">
        <v>4151.6899999999996</v>
      </c>
      <c r="I103" s="13">
        <v>34525.845000000001</v>
      </c>
    </row>
    <row r="104" spans="6:9" x14ac:dyDescent="0.3">
      <c r="F104" s="4">
        <v>44301</v>
      </c>
      <c r="G104">
        <v>63855.12</v>
      </c>
      <c r="H104">
        <v>4173.49</v>
      </c>
      <c r="I104" s="13">
        <v>34014.305</v>
      </c>
    </row>
    <row r="105" spans="6:9" x14ac:dyDescent="0.3">
      <c r="F105" s="4">
        <v>44302</v>
      </c>
      <c r="G105">
        <v>62998.68</v>
      </c>
      <c r="H105">
        <v>4191.3100000000004</v>
      </c>
      <c r="I105" s="13">
        <v>33594.995000000003</v>
      </c>
    </row>
    <row r="106" spans="6:9" x14ac:dyDescent="0.3">
      <c r="F106" s="4">
        <v>44303</v>
      </c>
      <c r="G106">
        <v>62545.78</v>
      </c>
      <c r="I106" s="13">
        <v>62545.78</v>
      </c>
    </row>
    <row r="107" spans="6:9" x14ac:dyDescent="0.3">
      <c r="F107" s="4">
        <v>44304</v>
      </c>
      <c r="G107">
        <v>57404.04</v>
      </c>
      <c r="I107" s="13">
        <v>57404.04</v>
      </c>
    </row>
    <row r="108" spans="6:9" x14ac:dyDescent="0.3">
      <c r="F108" s="4">
        <v>44305</v>
      </c>
      <c r="G108">
        <v>57624.66</v>
      </c>
      <c r="H108">
        <v>4180.8100000000004</v>
      </c>
      <c r="I108" s="13">
        <v>30902.735000000001</v>
      </c>
    </row>
    <row r="109" spans="6:9" x14ac:dyDescent="0.3">
      <c r="F109" s="4">
        <v>44306</v>
      </c>
      <c r="G109">
        <v>57145.34</v>
      </c>
      <c r="H109">
        <v>4159.18</v>
      </c>
      <c r="I109" s="13">
        <v>30652.26</v>
      </c>
    </row>
    <row r="110" spans="6:9" x14ac:dyDescent="0.3">
      <c r="F110" s="4">
        <v>44307</v>
      </c>
      <c r="G110">
        <v>56373</v>
      </c>
      <c r="H110">
        <v>4175.0200000000004</v>
      </c>
      <c r="I110" s="13">
        <v>30274.010000000002</v>
      </c>
    </row>
    <row r="111" spans="6:9" x14ac:dyDescent="0.3">
      <c r="F111" s="4">
        <v>44308</v>
      </c>
      <c r="G111">
        <v>55499.99</v>
      </c>
      <c r="H111">
        <v>4179.57</v>
      </c>
      <c r="I111" s="13">
        <v>29839.78</v>
      </c>
    </row>
    <row r="112" spans="6:9" x14ac:dyDescent="0.3">
      <c r="F112" s="4">
        <v>44309</v>
      </c>
      <c r="G112">
        <v>51380.03</v>
      </c>
      <c r="H112">
        <v>4194.17</v>
      </c>
      <c r="I112" s="13">
        <v>27787.1</v>
      </c>
    </row>
    <row r="113" spans="6:9" x14ac:dyDescent="0.3">
      <c r="F113" s="4">
        <v>44310</v>
      </c>
      <c r="G113">
        <v>51150.01</v>
      </c>
      <c r="I113" s="13">
        <v>51150.01</v>
      </c>
    </row>
    <row r="114" spans="6:9" x14ac:dyDescent="0.3">
      <c r="F114" s="4">
        <v>44311</v>
      </c>
      <c r="G114">
        <v>52567.77</v>
      </c>
      <c r="I114" s="13">
        <v>52567.77</v>
      </c>
    </row>
    <row r="115" spans="6:9" x14ac:dyDescent="0.3">
      <c r="F115" s="4">
        <v>44312</v>
      </c>
      <c r="G115">
        <v>54419.57</v>
      </c>
      <c r="H115">
        <v>4194.1899999999996</v>
      </c>
      <c r="I115" s="13">
        <v>29306.880000000001</v>
      </c>
    </row>
    <row r="116" spans="6:9" x14ac:dyDescent="0.3">
      <c r="F116" s="4">
        <v>44313</v>
      </c>
      <c r="G116">
        <v>55800</v>
      </c>
      <c r="H116">
        <v>4193.3500000000004</v>
      </c>
      <c r="I116" s="13">
        <v>29996.674999999999</v>
      </c>
    </row>
    <row r="117" spans="6:9" x14ac:dyDescent="0.3">
      <c r="F117" s="4">
        <v>44314</v>
      </c>
      <c r="G117">
        <v>56474.720000000001</v>
      </c>
      <c r="H117">
        <v>4201.53</v>
      </c>
      <c r="I117" s="13">
        <v>30338.125</v>
      </c>
    </row>
    <row r="118" spans="6:9" x14ac:dyDescent="0.3">
      <c r="F118" s="4">
        <v>44315</v>
      </c>
      <c r="G118">
        <v>54755.360000000001</v>
      </c>
      <c r="H118">
        <v>4218.78</v>
      </c>
      <c r="I118" s="13">
        <v>29487.07</v>
      </c>
    </row>
    <row r="119" spans="6:9" x14ac:dyDescent="0.3">
      <c r="F119" s="4">
        <v>44316</v>
      </c>
      <c r="G119">
        <v>58553.71</v>
      </c>
      <c r="H119">
        <v>4198.1000000000004</v>
      </c>
      <c r="I119" s="13">
        <v>31375.904999999999</v>
      </c>
    </row>
    <row r="120" spans="6:9" x14ac:dyDescent="0.3">
      <c r="F120" s="4">
        <v>44317</v>
      </c>
      <c r="G120">
        <v>300000</v>
      </c>
      <c r="I120" s="13">
        <v>300000</v>
      </c>
    </row>
    <row r="121" spans="6:9" x14ac:dyDescent="0.3">
      <c r="F121" s="4">
        <v>44318</v>
      </c>
      <c r="G121">
        <v>58293.35</v>
      </c>
      <c r="I121" s="13">
        <v>58293.35</v>
      </c>
    </row>
    <row r="122" spans="6:9" x14ac:dyDescent="0.3">
      <c r="F122" s="4">
        <v>44319</v>
      </c>
      <c r="G122">
        <v>58988.52</v>
      </c>
      <c r="H122">
        <v>4209.3900000000003</v>
      </c>
      <c r="I122" s="13">
        <v>31598.954999999998</v>
      </c>
    </row>
    <row r="123" spans="6:9" x14ac:dyDescent="0.3">
      <c r="F123" s="4">
        <v>44320</v>
      </c>
      <c r="G123">
        <v>56659.5</v>
      </c>
      <c r="H123">
        <v>4179.04</v>
      </c>
      <c r="I123" s="13">
        <v>30419.27</v>
      </c>
    </row>
    <row r="124" spans="6:9" x14ac:dyDescent="0.3">
      <c r="F124" s="4">
        <v>44321</v>
      </c>
      <c r="G124">
        <v>57974.07</v>
      </c>
      <c r="H124">
        <v>4187.72</v>
      </c>
      <c r="I124" s="13">
        <v>31080.895</v>
      </c>
    </row>
    <row r="125" spans="6:9" x14ac:dyDescent="0.3">
      <c r="F125" s="4">
        <v>44322</v>
      </c>
      <c r="G125">
        <v>58465.93</v>
      </c>
      <c r="H125">
        <v>4202.7</v>
      </c>
      <c r="I125" s="13">
        <v>31334.314999999999</v>
      </c>
    </row>
    <row r="126" spans="6:9" x14ac:dyDescent="0.3">
      <c r="F126" s="4">
        <v>44323</v>
      </c>
      <c r="G126">
        <v>58750</v>
      </c>
      <c r="H126">
        <v>4238.04</v>
      </c>
      <c r="I126" s="13">
        <v>31494.02</v>
      </c>
    </row>
    <row r="127" spans="6:9" x14ac:dyDescent="0.3">
      <c r="F127" s="4">
        <v>44324</v>
      </c>
      <c r="G127">
        <v>59560</v>
      </c>
      <c r="I127" s="13">
        <v>59560</v>
      </c>
    </row>
    <row r="128" spans="6:9" x14ac:dyDescent="0.3">
      <c r="F128" s="4">
        <v>44325</v>
      </c>
      <c r="G128">
        <v>59481.34</v>
      </c>
      <c r="I128" s="13">
        <v>59481.34</v>
      </c>
    </row>
    <row r="129" spans="6:9" x14ac:dyDescent="0.3">
      <c r="F129" s="4">
        <v>44326</v>
      </c>
      <c r="G129">
        <v>59584.99</v>
      </c>
      <c r="H129">
        <v>4236.3900000000003</v>
      </c>
      <c r="I129" s="13">
        <v>31910.69</v>
      </c>
    </row>
    <row r="130" spans="6:9" x14ac:dyDescent="0.3">
      <c r="F130" s="4">
        <v>44327</v>
      </c>
      <c r="G130">
        <v>57898</v>
      </c>
      <c r="H130">
        <v>4162.04</v>
      </c>
      <c r="I130" s="13">
        <v>31030.02</v>
      </c>
    </row>
    <row r="131" spans="6:9" x14ac:dyDescent="0.3">
      <c r="F131" s="4">
        <v>44328</v>
      </c>
      <c r="G131">
        <v>57998.26</v>
      </c>
      <c r="H131">
        <v>4134.7299999999996</v>
      </c>
      <c r="I131" s="13">
        <v>31066.495000000003</v>
      </c>
    </row>
    <row r="132" spans="6:9" x14ac:dyDescent="0.3">
      <c r="F132" s="4">
        <v>44329</v>
      </c>
      <c r="G132">
        <v>51389.95</v>
      </c>
      <c r="H132">
        <v>4131.58</v>
      </c>
      <c r="I132" s="13">
        <v>27760.764999999999</v>
      </c>
    </row>
    <row r="133" spans="6:9" x14ac:dyDescent="0.3">
      <c r="F133" s="4">
        <v>44330</v>
      </c>
      <c r="G133">
        <v>51575.16</v>
      </c>
      <c r="H133">
        <v>4183.13</v>
      </c>
      <c r="I133" s="13">
        <v>27879.145</v>
      </c>
    </row>
    <row r="134" spans="6:9" x14ac:dyDescent="0.3">
      <c r="F134" s="4">
        <v>44331</v>
      </c>
      <c r="G134">
        <v>49900</v>
      </c>
      <c r="I134" s="13">
        <v>49900</v>
      </c>
    </row>
    <row r="135" spans="6:9" x14ac:dyDescent="0.3">
      <c r="F135" s="4">
        <v>44332</v>
      </c>
      <c r="G135">
        <v>49790</v>
      </c>
      <c r="I135" s="13">
        <v>49790</v>
      </c>
    </row>
    <row r="136" spans="6:9" x14ac:dyDescent="0.3">
      <c r="F136" s="4">
        <v>44333</v>
      </c>
      <c r="G136">
        <v>45833.48</v>
      </c>
      <c r="H136">
        <v>4171.92</v>
      </c>
      <c r="I136" s="13">
        <v>25002.7</v>
      </c>
    </row>
    <row r="137" spans="6:9" x14ac:dyDescent="0.3">
      <c r="F137" s="4">
        <v>44334</v>
      </c>
      <c r="G137">
        <v>45860.17</v>
      </c>
      <c r="H137">
        <v>4169.1499999999996</v>
      </c>
      <c r="I137" s="13">
        <v>25014.66</v>
      </c>
    </row>
    <row r="138" spans="6:9" x14ac:dyDescent="0.3">
      <c r="F138" s="4">
        <v>44335</v>
      </c>
      <c r="G138">
        <v>40867.4</v>
      </c>
      <c r="H138">
        <v>4116.93</v>
      </c>
      <c r="I138" s="13">
        <v>22492.165000000001</v>
      </c>
    </row>
    <row r="139" spans="6:9" x14ac:dyDescent="0.3">
      <c r="F139" s="4">
        <v>44336</v>
      </c>
      <c r="G139">
        <v>42625.43</v>
      </c>
      <c r="H139">
        <v>4172.8</v>
      </c>
      <c r="I139" s="13">
        <v>23399.115000000002</v>
      </c>
    </row>
    <row r="140" spans="6:9" x14ac:dyDescent="0.3">
      <c r="F140" s="4">
        <v>44337</v>
      </c>
      <c r="G140">
        <v>41796.74</v>
      </c>
      <c r="H140">
        <v>4188.72</v>
      </c>
      <c r="I140" s="13">
        <v>22992.73</v>
      </c>
    </row>
    <row r="141" spans="6:9" x14ac:dyDescent="0.3">
      <c r="F141" s="4">
        <v>44338</v>
      </c>
      <c r="G141">
        <v>38861.15</v>
      </c>
      <c r="I141" s="13">
        <v>38861.15</v>
      </c>
    </row>
    <row r="142" spans="6:9" x14ac:dyDescent="0.3">
      <c r="F142" s="4">
        <v>44339</v>
      </c>
      <c r="G142">
        <v>37484.18</v>
      </c>
      <c r="I142" s="13">
        <v>37484.18</v>
      </c>
    </row>
    <row r="143" spans="6:9" x14ac:dyDescent="0.3">
      <c r="F143" s="4">
        <v>44340</v>
      </c>
      <c r="G143">
        <v>39953.65</v>
      </c>
      <c r="H143">
        <v>4209.5200000000004</v>
      </c>
      <c r="I143" s="13">
        <v>22081.584999999999</v>
      </c>
    </row>
    <row r="144" spans="6:9" x14ac:dyDescent="0.3">
      <c r="F144" s="4">
        <v>44341</v>
      </c>
      <c r="G144">
        <v>39760.959999999999</v>
      </c>
      <c r="H144">
        <v>4213.42</v>
      </c>
      <c r="I144" s="13">
        <v>21987.19</v>
      </c>
    </row>
    <row r="145" spans="6:9" x14ac:dyDescent="0.3">
      <c r="F145" s="4">
        <v>44342</v>
      </c>
      <c r="G145">
        <v>40861.199999999997</v>
      </c>
      <c r="H145">
        <v>4202.6099999999997</v>
      </c>
      <c r="I145" s="13">
        <v>22531.904999999999</v>
      </c>
    </row>
    <row r="146" spans="6:9" x14ac:dyDescent="0.3">
      <c r="F146" s="4">
        <v>44343</v>
      </c>
      <c r="G146">
        <v>40432.400000000001</v>
      </c>
      <c r="H146">
        <v>4213.38</v>
      </c>
      <c r="I146" s="13">
        <v>22322.89</v>
      </c>
    </row>
    <row r="147" spans="6:9" x14ac:dyDescent="0.3">
      <c r="F147" s="4">
        <v>44344</v>
      </c>
      <c r="G147">
        <v>38271.589999999997</v>
      </c>
      <c r="H147">
        <v>4218.3599999999997</v>
      </c>
      <c r="I147" s="13">
        <v>21244.974999999999</v>
      </c>
    </row>
    <row r="148" spans="6:9" x14ac:dyDescent="0.3">
      <c r="F148" s="4">
        <v>44345</v>
      </c>
      <c r="G148">
        <v>37320</v>
      </c>
      <c r="I148" s="13">
        <v>37320</v>
      </c>
    </row>
    <row r="149" spans="6:9" x14ac:dyDescent="0.3">
      <c r="F149" s="4">
        <v>44346</v>
      </c>
      <c r="G149">
        <v>36523.24</v>
      </c>
      <c r="I149" s="13">
        <v>36523.24</v>
      </c>
    </row>
    <row r="150" spans="6:9" x14ac:dyDescent="0.3">
      <c r="F150" s="4">
        <v>44347</v>
      </c>
      <c r="G150">
        <v>37912.870000000003</v>
      </c>
      <c r="I150" s="13">
        <v>37912.870000000003</v>
      </c>
    </row>
    <row r="151" spans="6:9" x14ac:dyDescent="0.3">
      <c r="F151" s="4">
        <v>44348</v>
      </c>
      <c r="G151">
        <v>37448.019999999997</v>
      </c>
      <c r="H151">
        <v>4234.12</v>
      </c>
      <c r="I151" s="13">
        <v>20841.07</v>
      </c>
    </row>
    <row r="152" spans="6:9" x14ac:dyDescent="0.3">
      <c r="F152" s="4">
        <v>44349</v>
      </c>
      <c r="G152">
        <v>38256.400000000001</v>
      </c>
      <c r="H152">
        <v>4217.37</v>
      </c>
      <c r="I152" s="13">
        <v>21236.885000000002</v>
      </c>
    </row>
    <row r="153" spans="6:9" x14ac:dyDescent="0.3">
      <c r="F153" s="4">
        <v>44350</v>
      </c>
      <c r="G153">
        <v>39487.910000000003</v>
      </c>
      <c r="H153">
        <v>4204.3900000000003</v>
      </c>
      <c r="I153" s="13">
        <v>21846.15</v>
      </c>
    </row>
    <row r="154" spans="6:9" x14ac:dyDescent="0.3">
      <c r="F154" s="4">
        <v>44351</v>
      </c>
      <c r="G154">
        <v>37963.61</v>
      </c>
      <c r="H154">
        <v>4233.45</v>
      </c>
      <c r="I154" s="13">
        <v>21098.53</v>
      </c>
    </row>
    <row r="155" spans="6:9" x14ac:dyDescent="0.3">
      <c r="F155" s="4">
        <v>44352</v>
      </c>
      <c r="G155">
        <v>37918.57</v>
      </c>
      <c r="I155" s="13">
        <v>37918.57</v>
      </c>
    </row>
    <row r="156" spans="6:9" x14ac:dyDescent="0.3">
      <c r="F156" s="4">
        <v>44353</v>
      </c>
      <c r="G156">
        <v>36812.089999999997</v>
      </c>
      <c r="I156" s="13">
        <v>36812.089999999997</v>
      </c>
    </row>
    <row r="157" spans="6:9" x14ac:dyDescent="0.3">
      <c r="F157" s="4">
        <v>44354</v>
      </c>
      <c r="G157">
        <v>36798.03</v>
      </c>
      <c r="H157">
        <v>4232.34</v>
      </c>
      <c r="I157" s="13">
        <v>20515.184999999998</v>
      </c>
    </row>
    <row r="158" spans="6:9" x14ac:dyDescent="0.3">
      <c r="F158" s="4">
        <v>44355</v>
      </c>
      <c r="G158">
        <v>33841.46</v>
      </c>
      <c r="H158">
        <v>4236.74</v>
      </c>
      <c r="I158" s="13">
        <v>19039.099999999999</v>
      </c>
    </row>
    <row r="159" spans="6:9" x14ac:dyDescent="0.3">
      <c r="F159" s="4">
        <v>44356</v>
      </c>
      <c r="G159">
        <v>37676.6</v>
      </c>
      <c r="H159">
        <v>4237.09</v>
      </c>
      <c r="I159" s="13">
        <v>20956.845000000001</v>
      </c>
    </row>
    <row r="160" spans="6:9" x14ac:dyDescent="0.3">
      <c r="F160" s="4">
        <v>44357</v>
      </c>
      <c r="G160">
        <v>38437.019999999997</v>
      </c>
      <c r="H160">
        <v>4249.74</v>
      </c>
      <c r="I160" s="13">
        <v>21343.379999999997</v>
      </c>
    </row>
    <row r="161" spans="6:9" x14ac:dyDescent="0.3">
      <c r="F161" s="4">
        <v>44358</v>
      </c>
      <c r="G161">
        <v>37690</v>
      </c>
      <c r="H161">
        <v>4248.38</v>
      </c>
      <c r="I161" s="13">
        <v>20969.189999999999</v>
      </c>
    </row>
    <row r="162" spans="6:9" x14ac:dyDescent="0.3">
      <c r="F162" s="4">
        <v>44359</v>
      </c>
      <c r="G162">
        <v>36222.800000000003</v>
      </c>
      <c r="I162" s="13">
        <v>36222.800000000003</v>
      </c>
    </row>
    <row r="163" spans="6:9" x14ac:dyDescent="0.3">
      <c r="F163" s="4">
        <v>44360</v>
      </c>
      <c r="G163">
        <v>39816.720000000001</v>
      </c>
      <c r="I163" s="13">
        <v>39816.720000000001</v>
      </c>
    </row>
    <row r="164" spans="6:9" x14ac:dyDescent="0.3">
      <c r="F164" s="4">
        <v>44361</v>
      </c>
      <c r="G164">
        <v>41060.769999999997</v>
      </c>
      <c r="H164">
        <v>4255.59</v>
      </c>
      <c r="I164" s="13">
        <v>22658.18</v>
      </c>
    </row>
    <row r="165" spans="6:9" x14ac:dyDescent="0.3">
      <c r="F165" s="4">
        <v>44362</v>
      </c>
      <c r="G165">
        <v>41380.019999999997</v>
      </c>
      <c r="H165">
        <v>4257.16</v>
      </c>
      <c r="I165" s="13">
        <v>22818.589999999997</v>
      </c>
    </row>
    <row r="166" spans="6:9" x14ac:dyDescent="0.3">
      <c r="F166" s="4">
        <v>44363</v>
      </c>
      <c r="G166">
        <v>40490.019999999997</v>
      </c>
      <c r="H166">
        <v>4251.8900000000003</v>
      </c>
      <c r="I166" s="13">
        <v>22370.954999999998</v>
      </c>
    </row>
    <row r="167" spans="6:9" x14ac:dyDescent="0.3">
      <c r="F167" s="4">
        <v>44364</v>
      </c>
      <c r="G167">
        <v>39575.03</v>
      </c>
      <c r="H167">
        <v>4232.29</v>
      </c>
      <c r="I167" s="13">
        <v>21903.66</v>
      </c>
    </row>
    <row r="168" spans="6:9" x14ac:dyDescent="0.3">
      <c r="F168" s="4">
        <v>44365</v>
      </c>
      <c r="G168">
        <v>38129.089999999997</v>
      </c>
      <c r="H168">
        <v>4204.78</v>
      </c>
      <c r="I168" s="13">
        <v>21166.934999999998</v>
      </c>
    </row>
    <row r="169" spans="6:9" x14ac:dyDescent="0.3">
      <c r="F169" s="4">
        <v>44366</v>
      </c>
      <c r="G169">
        <v>36464.629999999997</v>
      </c>
      <c r="I169" s="13">
        <v>36464.629999999997</v>
      </c>
    </row>
    <row r="170" spans="6:9" x14ac:dyDescent="0.3">
      <c r="F170" s="4">
        <v>44367</v>
      </c>
      <c r="G170">
        <v>36128.129999999997</v>
      </c>
      <c r="I170" s="13">
        <v>36128.129999999997</v>
      </c>
    </row>
    <row r="171" spans="6:9" x14ac:dyDescent="0.3">
      <c r="F171" s="4">
        <v>44368</v>
      </c>
      <c r="G171">
        <v>34702.68</v>
      </c>
      <c r="H171">
        <v>4226.24</v>
      </c>
      <c r="I171" s="13">
        <v>19464.46</v>
      </c>
    </row>
    <row r="172" spans="6:9" x14ac:dyDescent="0.3">
      <c r="F172" s="4">
        <v>44369</v>
      </c>
      <c r="G172">
        <v>34392.050000000003</v>
      </c>
      <c r="H172">
        <v>4255.84</v>
      </c>
      <c r="I172" s="13">
        <v>19323.945</v>
      </c>
    </row>
    <row r="173" spans="6:9" x14ac:dyDescent="0.3">
      <c r="F173" s="4">
        <v>44370</v>
      </c>
      <c r="G173">
        <v>34851.199999999997</v>
      </c>
      <c r="H173">
        <v>4256.6000000000004</v>
      </c>
      <c r="I173" s="13">
        <v>19553.899999999998</v>
      </c>
    </row>
    <row r="174" spans="6:9" x14ac:dyDescent="0.3">
      <c r="F174" s="4">
        <v>44371</v>
      </c>
      <c r="G174">
        <v>35274.9</v>
      </c>
      <c r="H174">
        <v>4271.28</v>
      </c>
      <c r="I174" s="13">
        <v>19773.09</v>
      </c>
    </row>
    <row r="175" spans="6:9" x14ac:dyDescent="0.3">
      <c r="F175" s="4">
        <v>44372</v>
      </c>
      <c r="G175">
        <v>35100</v>
      </c>
      <c r="H175">
        <v>4286.12</v>
      </c>
      <c r="I175" s="13">
        <v>19693.060000000001</v>
      </c>
    </row>
    <row r="176" spans="6:9" x14ac:dyDescent="0.3">
      <c r="F176" s="4">
        <v>44373</v>
      </c>
      <c r="G176">
        <v>33209.589999999997</v>
      </c>
      <c r="I176" s="13">
        <v>33209.589999999997</v>
      </c>
    </row>
    <row r="177" spans="6:9" x14ac:dyDescent="0.3">
      <c r="F177" s="4">
        <v>44374</v>
      </c>
      <c r="G177">
        <v>34983.42</v>
      </c>
      <c r="I177" s="13">
        <v>34983.42</v>
      </c>
    </row>
    <row r="178" spans="6:9" x14ac:dyDescent="0.3">
      <c r="F178" s="4">
        <v>44375</v>
      </c>
      <c r="G178">
        <v>35286.03</v>
      </c>
      <c r="H178">
        <v>4292.1400000000003</v>
      </c>
      <c r="I178" s="13">
        <v>19789.084999999999</v>
      </c>
    </row>
    <row r="179" spans="6:9" x14ac:dyDescent="0.3">
      <c r="F179" s="4">
        <v>44376</v>
      </c>
      <c r="G179">
        <v>36661.800000000003</v>
      </c>
      <c r="H179">
        <v>4300.5200000000004</v>
      </c>
      <c r="I179" s="13">
        <v>20481.160000000003</v>
      </c>
    </row>
    <row r="180" spans="6:9" x14ac:dyDescent="0.3">
      <c r="F180" s="4">
        <v>44377</v>
      </c>
      <c r="G180">
        <v>35333.25</v>
      </c>
      <c r="H180">
        <v>4302.43</v>
      </c>
      <c r="I180" s="13">
        <v>19817.84</v>
      </c>
    </row>
    <row r="181" spans="6:9" x14ac:dyDescent="0.3">
      <c r="F181" s="4">
        <v>44378</v>
      </c>
      <c r="G181">
        <v>34475.550000000003</v>
      </c>
      <c r="H181">
        <v>4320.66</v>
      </c>
      <c r="I181" s="13">
        <v>19398.105000000003</v>
      </c>
    </row>
    <row r="182" spans="6:9" x14ac:dyDescent="0.3">
      <c r="F182" s="4">
        <v>44379</v>
      </c>
      <c r="G182">
        <v>33926.449999999997</v>
      </c>
      <c r="H182">
        <v>4355.43</v>
      </c>
      <c r="I182" s="13">
        <v>19140.939999999999</v>
      </c>
    </row>
    <row r="183" spans="6:9" x14ac:dyDescent="0.3">
      <c r="F183" s="4">
        <v>44380</v>
      </c>
      <c r="G183">
        <v>34942.559999999998</v>
      </c>
      <c r="I183" s="13">
        <v>34942.559999999998</v>
      </c>
    </row>
    <row r="184" spans="6:9" x14ac:dyDescent="0.3">
      <c r="F184" s="4">
        <v>44381</v>
      </c>
      <c r="G184">
        <v>35985.71</v>
      </c>
      <c r="I184" s="13">
        <v>35985.71</v>
      </c>
    </row>
    <row r="185" spans="6:9" x14ac:dyDescent="0.3">
      <c r="F185" s="4">
        <v>44382</v>
      </c>
      <c r="G185">
        <v>34559.72</v>
      </c>
      <c r="I185" s="13">
        <v>34559.72</v>
      </c>
    </row>
    <row r="186" spans="6:9" x14ac:dyDescent="0.3">
      <c r="F186" s="4">
        <v>44383</v>
      </c>
      <c r="G186">
        <v>35114.32</v>
      </c>
      <c r="H186">
        <v>4356.46</v>
      </c>
      <c r="I186" s="13">
        <v>19735.39</v>
      </c>
    </row>
    <row r="187" spans="6:9" x14ac:dyDescent="0.3">
      <c r="F187" s="4">
        <v>44384</v>
      </c>
      <c r="G187">
        <v>35098.28</v>
      </c>
      <c r="H187">
        <v>4361.88</v>
      </c>
      <c r="I187" s="13">
        <v>19730.079999999998</v>
      </c>
    </row>
    <row r="188" spans="6:9" x14ac:dyDescent="0.3">
      <c r="F188" s="4">
        <v>44385</v>
      </c>
      <c r="G188">
        <v>33493.24</v>
      </c>
      <c r="H188">
        <v>4330.88</v>
      </c>
      <c r="I188" s="13">
        <v>18912.059999999998</v>
      </c>
    </row>
    <row r="189" spans="6:9" x14ac:dyDescent="0.3">
      <c r="F189" s="4">
        <v>44386</v>
      </c>
      <c r="G189">
        <v>34262.53</v>
      </c>
      <c r="H189">
        <v>4371.6000000000004</v>
      </c>
      <c r="I189" s="13">
        <v>19317.064999999999</v>
      </c>
    </row>
    <row r="190" spans="6:9" x14ac:dyDescent="0.3">
      <c r="F190" s="4">
        <v>44387</v>
      </c>
      <c r="G190">
        <v>34195.26</v>
      </c>
      <c r="I190" s="13">
        <v>34195.26</v>
      </c>
    </row>
    <row r="191" spans="6:9" x14ac:dyDescent="0.3">
      <c r="F191" s="4">
        <v>44388</v>
      </c>
      <c r="G191">
        <v>34602</v>
      </c>
      <c r="I191" s="13">
        <v>34602</v>
      </c>
    </row>
    <row r="192" spans="6:9" x14ac:dyDescent="0.3">
      <c r="F192" s="4">
        <v>44389</v>
      </c>
      <c r="G192">
        <v>34670.21</v>
      </c>
      <c r="H192">
        <v>4386.68</v>
      </c>
      <c r="I192" s="13">
        <v>19528.445</v>
      </c>
    </row>
    <row r="193" spans="6:9" x14ac:dyDescent="0.3">
      <c r="F193" s="4">
        <v>44390</v>
      </c>
      <c r="G193">
        <v>33334.71</v>
      </c>
      <c r="H193">
        <v>4392.37</v>
      </c>
      <c r="I193" s="13">
        <v>18863.54</v>
      </c>
    </row>
    <row r="194" spans="6:9" x14ac:dyDescent="0.3">
      <c r="F194" s="4">
        <v>44391</v>
      </c>
      <c r="G194">
        <v>33189.99</v>
      </c>
      <c r="H194">
        <v>4393.68</v>
      </c>
      <c r="I194" s="13">
        <v>18791.834999999999</v>
      </c>
    </row>
    <row r="195" spans="6:9" x14ac:dyDescent="0.3">
      <c r="F195" s="4">
        <v>44392</v>
      </c>
      <c r="G195">
        <v>32691.72</v>
      </c>
      <c r="H195">
        <v>4369.0200000000004</v>
      </c>
      <c r="I195" s="13">
        <v>18530.370000000003</v>
      </c>
    </row>
    <row r="196" spans="6:9" x14ac:dyDescent="0.3">
      <c r="F196" s="4">
        <v>44393</v>
      </c>
      <c r="G196">
        <v>32252.21</v>
      </c>
      <c r="H196">
        <v>4375.09</v>
      </c>
      <c r="I196" s="13">
        <v>18313.650000000001</v>
      </c>
    </row>
    <row r="197" spans="6:9" x14ac:dyDescent="0.3">
      <c r="F197" s="4">
        <v>44394</v>
      </c>
      <c r="G197">
        <v>32437.07</v>
      </c>
      <c r="I197" s="13">
        <v>32437.07</v>
      </c>
    </row>
    <row r="198" spans="6:9" x14ac:dyDescent="0.3">
      <c r="F198" s="4">
        <v>44395</v>
      </c>
      <c r="G198">
        <v>32200.55</v>
      </c>
      <c r="I198" s="13">
        <v>32200.55</v>
      </c>
    </row>
    <row r="199" spans="6:9" x14ac:dyDescent="0.3">
      <c r="F199" s="4">
        <v>44396</v>
      </c>
      <c r="G199">
        <v>31890.59</v>
      </c>
      <c r="H199">
        <v>4296.3999999999996</v>
      </c>
      <c r="I199" s="13">
        <v>18093.494999999999</v>
      </c>
    </row>
    <row r="200" spans="6:9" x14ac:dyDescent="0.3">
      <c r="F200" s="4">
        <v>44397</v>
      </c>
      <c r="G200">
        <v>30005.72</v>
      </c>
      <c r="H200">
        <v>4336.84</v>
      </c>
      <c r="I200" s="13">
        <v>17171.28</v>
      </c>
    </row>
    <row r="201" spans="6:9" x14ac:dyDescent="0.3">
      <c r="F201" s="4">
        <v>44398</v>
      </c>
      <c r="G201">
        <v>32950</v>
      </c>
      <c r="H201">
        <v>4359.7</v>
      </c>
      <c r="I201" s="13">
        <v>18654.849999999999</v>
      </c>
    </row>
    <row r="202" spans="6:9" x14ac:dyDescent="0.3">
      <c r="F202" s="4">
        <v>44399</v>
      </c>
      <c r="G202">
        <v>32806.46</v>
      </c>
      <c r="H202">
        <v>4369.87</v>
      </c>
      <c r="I202" s="13">
        <v>18588.165000000001</v>
      </c>
    </row>
    <row r="203" spans="6:9" x14ac:dyDescent="0.3">
      <c r="F203" s="4">
        <v>44400</v>
      </c>
      <c r="G203">
        <v>33800</v>
      </c>
      <c r="H203">
        <v>4415.18</v>
      </c>
      <c r="I203" s="13">
        <v>19107.59</v>
      </c>
    </row>
    <row r="204" spans="6:9" x14ac:dyDescent="0.3">
      <c r="F204" s="4">
        <v>44401</v>
      </c>
      <c r="G204">
        <v>34525.5</v>
      </c>
      <c r="I204" s="13">
        <v>34525.5</v>
      </c>
    </row>
    <row r="205" spans="6:9" x14ac:dyDescent="0.3">
      <c r="F205" s="4">
        <v>44402</v>
      </c>
      <c r="G205">
        <v>39782.93</v>
      </c>
      <c r="I205" s="13">
        <v>39782.93</v>
      </c>
    </row>
    <row r="206" spans="6:9" x14ac:dyDescent="0.3">
      <c r="F206" s="4">
        <v>44403</v>
      </c>
      <c r="G206">
        <v>40572.449999999997</v>
      </c>
      <c r="H206">
        <v>4422.7299999999996</v>
      </c>
      <c r="I206" s="13">
        <v>22497.589999999997</v>
      </c>
    </row>
    <row r="207" spans="6:9" x14ac:dyDescent="0.3">
      <c r="F207" s="4">
        <v>44404</v>
      </c>
      <c r="G207">
        <v>40366.57</v>
      </c>
      <c r="H207">
        <v>4416.38</v>
      </c>
      <c r="I207" s="13">
        <v>22391.474999999999</v>
      </c>
    </row>
    <row r="208" spans="6:9" x14ac:dyDescent="0.3">
      <c r="F208" s="4">
        <v>44405</v>
      </c>
      <c r="G208">
        <v>40928.46</v>
      </c>
      <c r="H208">
        <v>4415.47</v>
      </c>
      <c r="I208" s="13">
        <v>22671.965</v>
      </c>
    </row>
    <row r="209" spans="6:9" x14ac:dyDescent="0.3">
      <c r="F209" s="4">
        <v>44406</v>
      </c>
      <c r="G209">
        <v>40639.14</v>
      </c>
      <c r="H209">
        <v>4429.97</v>
      </c>
      <c r="I209" s="13">
        <v>22534.555</v>
      </c>
    </row>
    <row r="210" spans="6:9" x14ac:dyDescent="0.3">
      <c r="F210" s="4">
        <v>44407</v>
      </c>
      <c r="G210">
        <v>42400</v>
      </c>
      <c r="H210">
        <v>4412.25</v>
      </c>
      <c r="I210" s="13">
        <v>23406.125</v>
      </c>
    </row>
    <row r="211" spans="6:9" x14ac:dyDescent="0.3">
      <c r="F211" s="4">
        <v>44408</v>
      </c>
      <c r="G211">
        <v>42600</v>
      </c>
      <c r="I211" s="13">
        <v>42600</v>
      </c>
    </row>
    <row r="212" spans="6:9" x14ac:dyDescent="0.3">
      <c r="F212" s="4">
        <v>44409</v>
      </c>
      <c r="G212">
        <v>42475.28</v>
      </c>
      <c r="I212" s="13">
        <v>42475.28</v>
      </c>
    </row>
    <row r="213" spans="6:9" x14ac:dyDescent="0.3">
      <c r="F213" s="4">
        <v>44410</v>
      </c>
      <c r="G213">
        <v>40446.58</v>
      </c>
      <c r="H213">
        <v>4422.18</v>
      </c>
      <c r="I213" s="13">
        <v>22434.38</v>
      </c>
    </row>
    <row r="214" spans="6:9" x14ac:dyDescent="0.3">
      <c r="F214" s="4">
        <v>44411</v>
      </c>
      <c r="G214">
        <v>38824.81</v>
      </c>
      <c r="H214">
        <v>4423.79</v>
      </c>
      <c r="I214" s="13">
        <v>21624.3</v>
      </c>
    </row>
    <row r="215" spans="6:9" x14ac:dyDescent="0.3">
      <c r="F215" s="4">
        <v>44412</v>
      </c>
      <c r="G215">
        <v>39973.96</v>
      </c>
      <c r="H215">
        <v>4416.17</v>
      </c>
      <c r="I215" s="13">
        <v>22195.064999999999</v>
      </c>
    </row>
    <row r="216" spans="6:9" x14ac:dyDescent="0.3">
      <c r="F216" s="4">
        <v>44413</v>
      </c>
      <c r="G216">
        <v>41431.18</v>
      </c>
      <c r="H216">
        <v>4429.76</v>
      </c>
      <c r="I216" s="13">
        <v>22930.47</v>
      </c>
    </row>
    <row r="217" spans="6:9" x14ac:dyDescent="0.3">
      <c r="F217" s="4">
        <v>44414</v>
      </c>
      <c r="G217">
        <v>43792.42</v>
      </c>
      <c r="H217">
        <v>4440.82</v>
      </c>
      <c r="I217" s="13">
        <v>24116.62</v>
      </c>
    </row>
    <row r="218" spans="6:9" x14ac:dyDescent="0.3">
      <c r="F218" s="4">
        <v>44415</v>
      </c>
      <c r="G218">
        <v>44837.59</v>
      </c>
      <c r="I218" s="13">
        <v>44837.59</v>
      </c>
    </row>
    <row r="219" spans="6:9" x14ac:dyDescent="0.3">
      <c r="F219" s="4">
        <v>44416</v>
      </c>
      <c r="G219">
        <v>45386.81</v>
      </c>
      <c r="I219" s="13">
        <v>45386.81</v>
      </c>
    </row>
    <row r="220" spans="6:9" x14ac:dyDescent="0.3">
      <c r="F220" s="4">
        <v>44417</v>
      </c>
      <c r="G220">
        <v>46729.86</v>
      </c>
      <c r="H220">
        <v>4439.3900000000003</v>
      </c>
      <c r="I220" s="13">
        <v>25584.625</v>
      </c>
    </row>
    <row r="221" spans="6:9" x14ac:dyDescent="0.3">
      <c r="F221" s="4">
        <v>44418</v>
      </c>
      <c r="G221">
        <v>46183.47</v>
      </c>
      <c r="H221">
        <v>4445.21</v>
      </c>
      <c r="I221" s="13">
        <v>25314.34</v>
      </c>
    </row>
    <row r="222" spans="6:9" x14ac:dyDescent="0.3">
      <c r="F222" s="4">
        <v>44419</v>
      </c>
      <c r="G222">
        <v>46775</v>
      </c>
      <c r="H222">
        <v>4449.4399999999996</v>
      </c>
      <c r="I222" s="13">
        <v>25612.22</v>
      </c>
    </row>
    <row r="223" spans="6:9" x14ac:dyDescent="0.3">
      <c r="F223" s="4">
        <v>44420</v>
      </c>
      <c r="G223">
        <v>46023.08</v>
      </c>
      <c r="H223">
        <v>4461.7700000000004</v>
      </c>
      <c r="I223" s="13">
        <v>25242.425000000003</v>
      </c>
    </row>
    <row r="224" spans="6:9" x14ac:dyDescent="0.3">
      <c r="F224" s="4">
        <v>44421</v>
      </c>
      <c r="G224">
        <v>47900</v>
      </c>
      <c r="H224">
        <v>4468.37</v>
      </c>
      <c r="I224" s="13">
        <v>26184.185000000001</v>
      </c>
    </row>
    <row r="225" spans="6:9" x14ac:dyDescent="0.3">
      <c r="F225" s="4">
        <v>44422</v>
      </c>
      <c r="G225">
        <v>48181.51</v>
      </c>
      <c r="I225" s="13">
        <v>48181.51</v>
      </c>
    </row>
    <row r="226" spans="6:9" x14ac:dyDescent="0.3">
      <c r="F226" s="4">
        <v>44423</v>
      </c>
      <c r="G226">
        <v>48044.25</v>
      </c>
      <c r="I226" s="13">
        <v>48044.25</v>
      </c>
    </row>
    <row r="227" spans="6:9" x14ac:dyDescent="0.3">
      <c r="F227" s="4">
        <v>44424</v>
      </c>
      <c r="G227">
        <v>47744.5</v>
      </c>
      <c r="H227">
        <v>4480.26</v>
      </c>
      <c r="I227" s="13">
        <v>26112.38</v>
      </c>
    </row>
    <row r="228" spans="6:9" x14ac:dyDescent="0.3">
      <c r="F228" s="4">
        <v>44425</v>
      </c>
      <c r="G228">
        <v>47162.94</v>
      </c>
      <c r="H228">
        <v>4462.12</v>
      </c>
      <c r="I228" s="13">
        <v>25812.530000000002</v>
      </c>
    </row>
    <row r="229" spans="6:9" x14ac:dyDescent="0.3">
      <c r="F229" s="4">
        <v>44426</v>
      </c>
      <c r="G229">
        <v>46031</v>
      </c>
      <c r="H229">
        <v>4454.32</v>
      </c>
      <c r="I229" s="13">
        <v>25242.66</v>
      </c>
    </row>
    <row r="230" spans="6:9" x14ac:dyDescent="0.3">
      <c r="F230" s="4">
        <v>44427</v>
      </c>
      <c r="G230">
        <v>47424.13</v>
      </c>
      <c r="H230">
        <v>4418.6099999999997</v>
      </c>
      <c r="I230" s="13">
        <v>25921.37</v>
      </c>
    </row>
    <row r="231" spans="6:9" x14ac:dyDescent="0.3">
      <c r="F231" s="4">
        <v>44428</v>
      </c>
      <c r="G231">
        <v>49400</v>
      </c>
      <c r="H231">
        <v>4444.3500000000004</v>
      </c>
      <c r="I231" s="13">
        <v>26922.174999999999</v>
      </c>
    </row>
    <row r="232" spans="6:9" x14ac:dyDescent="0.3">
      <c r="F232" s="4">
        <v>44429</v>
      </c>
      <c r="G232">
        <v>49812.54</v>
      </c>
      <c r="I232" s="13">
        <v>49812.54</v>
      </c>
    </row>
    <row r="233" spans="6:9" x14ac:dyDescent="0.3">
      <c r="F233" s="4">
        <v>44430</v>
      </c>
      <c r="G233">
        <v>50540.19</v>
      </c>
      <c r="I233" s="13">
        <v>50540.19</v>
      </c>
    </row>
    <row r="234" spans="6:9" x14ac:dyDescent="0.3">
      <c r="F234" s="4">
        <v>44431</v>
      </c>
      <c r="G234">
        <v>50517.99</v>
      </c>
      <c r="H234">
        <v>4489.88</v>
      </c>
      <c r="I234" s="13">
        <v>27503.934999999998</v>
      </c>
    </row>
    <row r="235" spans="6:9" x14ac:dyDescent="0.3">
      <c r="F235" s="4">
        <v>44432</v>
      </c>
      <c r="G235">
        <v>49867.71</v>
      </c>
      <c r="H235">
        <v>4492.8100000000004</v>
      </c>
      <c r="I235" s="13">
        <v>27180.26</v>
      </c>
    </row>
    <row r="236" spans="6:9" x14ac:dyDescent="0.3">
      <c r="F236" s="4">
        <v>44433</v>
      </c>
      <c r="G236">
        <v>49365.42</v>
      </c>
      <c r="H236">
        <v>4501.71</v>
      </c>
      <c r="I236" s="13">
        <v>26933.564999999999</v>
      </c>
    </row>
    <row r="237" spans="6:9" x14ac:dyDescent="0.3">
      <c r="F237" s="4">
        <v>44434</v>
      </c>
      <c r="G237">
        <v>48053.14</v>
      </c>
      <c r="H237">
        <v>4495.8999999999996</v>
      </c>
      <c r="I237" s="13">
        <v>26274.52</v>
      </c>
    </row>
    <row r="238" spans="6:9" x14ac:dyDescent="0.3">
      <c r="F238" s="4">
        <v>44435</v>
      </c>
      <c r="G238">
        <v>49313.26</v>
      </c>
      <c r="H238">
        <v>4513.33</v>
      </c>
      <c r="I238" s="13">
        <v>26913.295000000002</v>
      </c>
    </row>
    <row r="239" spans="6:9" x14ac:dyDescent="0.3">
      <c r="F239" s="4">
        <v>44436</v>
      </c>
      <c r="G239">
        <v>49650</v>
      </c>
      <c r="I239" s="13">
        <v>49650</v>
      </c>
    </row>
    <row r="240" spans="6:9" x14ac:dyDescent="0.3">
      <c r="F240" s="4">
        <v>44437</v>
      </c>
      <c r="G240">
        <v>49408.07</v>
      </c>
      <c r="I240" s="13">
        <v>49408.07</v>
      </c>
    </row>
    <row r="241" spans="6:9" x14ac:dyDescent="0.3">
      <c r="F241" s="4">
        <v>44438</v>
      </c>
      <c r="G241">
        <v>48735.71</v>
      </c>
      <c r="H241">
        <v>4537.3599999999997</v>
      </c>
      <c r="I241" s="13">
        <v>26636.535</v>
      </c>
    </row>
    <row r="242" spans="6:9" x14ac:dyDescent="0.3">
      <c r="F242" s="4">
        <v>44439</v>
      </c>
      <c r="G242">
        <v>48261.59</v>
      </c>
      <c r="H242">
        <v>4531.3900000000003</v>
      </c>
      <c r="I242" s="13">
        <v>26396.489999999998</v>
      </c>
    </row>
    <row r="243" spans="6:9" x14ac:dyDescent="0.3">
      <c r="F243" s="4">
        <v>44440</v>
      </c>
      <c r="G243">
        <v>49935.09</v>
      </c>
      <c r="H243">
        <v>4537.1099999999997</v>
      </c>
      <c r="I243" s="13">
        <v>27236.1</v>
      </c>
    </row>
    <row r="244" spans="6:9" x14ac:dyDescent="0.3">
      <c r="F244" s="4">
        <v>44441</v>
      </c>
      <c r="G244">
        <v>50412</v>
      </c>
      <c r="H244">
        <v>4545.8500000000004</v>
      </c>
      <c r="I244" s="13">
        <v>27478.924999999999</v>
      </c>
    </row>
    <row r="245" spans="6:9" x14ac:dyDescent="0.3">
      <c r="F245" s="4">
        <v>44442</v>
      </c>
      <c r="G245">
        <v>51046.11</v>
      </c>
      <c r="H245">
        <v>4541.45</v>
      </c>
      <c r="I245" s="13">
        <v>27793.78</v>
      </c>
    </row>
    <row r="246" spans="6:9" x14ac:dyDescent="0.3">
      <c r="F246" s="4">
        <v>44443</v>
      </c>
      <c r="G246">
        <v>50545.41</v>
      </c>
      <c r="I246" s="13">
        <v>50545.41</v>
      </c>
    </row>
    <row r="247" spans="6:9" x14ac:dyDescent="0.3">
      <c r="F247" s="4">
        <v>44444</v>
      </c>
      <c r="G247">
        <v>51962.68</v>
      </c>
      <c r="I247" s="13">
        <v>51962.68</v>
      </c>
    </row>
    <row r="248" spans="6:9" x14ac:dyDescent="0.3">
      <c r="F248" s="4">
        <v>44445</v>
      </c>
      <c r="G248">
        <v>52938.78</v>
      </c>
      <c r="I248" s="13">
        <v>52938.78</v>
      </c>
    </row>
    <row r="249" spans="6:9" x14ac:dyDescent="0.3">
      <c r="F249" s="4">
        <v>44446</v>
      </c>
      <c r="G249">
        <v>52744.480000000003</v>
      </c>
      <c r="H249">
        <v>4535.38</v>
      </c>
      <c r="I249" s="13">
        <v>28639.93</v>
      </c>
    </row>
    <row r="250" spans="6:9" x14ac:dyDescent="0.3">
      <c r="F250" s="4">
        <v>44447</v>
      </c>
      <c r="G250">
        <v>46885.38</v>
      </c>
      <c r="H250">
        <v>4521.79</v>
      </c>
      <c r="I250" s="13">
        <v>25703.584999999999</v>
      </c>
    </row>
    <row r="251" spans="6:9" x14ac:dyDescent="0.3">
      <c r="F251" s="4">
        <v>44448</v>
      </c>
      <c r="G251">
        <v>47396.38</v>
      </c>
      <c r="H251">
        <v>4529.8999999999996</v>
      </c>
      <c r="I251" s="13">
        <v>25963.14</v>
      </c>
    </row>
    <row r="252" spans="6:9" x14ac:dyDescent="0.3">
      <c r="F252" s="4">
        <v>44449</v>
      </c>
      <c r="G252">
        <v>46812.87</v>
      </c>
      <c r="H252">
        <v>4520.47</v>
      </c>
      <c r="I252" s="13">
        <v>25666.670000000002</v>
      </c>
    </row>
    <row r="253" spans="6:9" x14ac:dyDescent="0.3">
      <c r="F253" s="4">
        <v>44450</v>
      </c>
      <c r="G253">
        <v>46001.33</v>
      </c>
      <c r="I253" s="13">
        <v>46001.33</v>
      </c>
    </row>
    <row r="254" spans="6:9" x14ac:dyDescent="0.3">
      <c r="F254" s="4">
        <v>44451</v>
      </c>
      <c r="G254">
        <v>46504.62</v>
      </c>
      <c r="I254" s="13">
        <v>46504.62</v>
      </c>
    </row>
    <row r="255" spans="6:9" x14ac:dyDescent="0.3">
      <c r="F255" s="4">
        <v>44452</v>
      </c>
      <c r="G255">
        <v>46897</v>
      </c>
      <c r="H255">
        <v>4492.99</v>
      </c>
      <c r="I255" s="13">
        <v>25694.994999999999</v>
      </c>
    </row>
    <row r="256" spans="6:9" x14ac:dyDescent="0.3">
      <c r="F256" s="4">
        <v>44453</v>
      </c>
      <c r="G256">
        <v>47498.54</v>
      </c>
      <c r="H256">
        <v>4485.68</v>
      </c>
      <c r="I256" s="13">
        <v>25992.11</v>
      </c>
    </row>
    <row r="257" spans="6:9" x14ac:dyDescent="0.3">
      <c r="F257" s="4">
        <v>44454</v>
      </c>
      <c r="G257">
        <v>48455.16</v>
      </c>
      <c r="H257">
        <v>4486.87</v>
      </c>
      <c r="I257" s="13">
        <v>26471.015000000003</v>
      </c>
    </row>
    <row r="258" spans="6:9" x14ac:dyDescent="0.3">
      <c r="F258" s="4">
        <v>44455</v>
      </c>
      <c r="G258">
        <v>48500</v>
      </c>
      <c r="H258">
        <v>4485.87</v>
      </c>
      <c r="I258" s="13">
        <v>26492.935000000001</v>
      </c>
    </row>
    <row r="259" spans="6:9" x14ac:dyDescent="0.3">
      <c r="F259" s="4">
        <v>44456</v>
      </c>
      <c r="G259">
        <v>48165.96</v>
      </c>
      <c r="H259">
        <v>4471.5200000000004</v>
      </c>
      <c r="I259" s="13">
        <v>26318.739999999998</v>
      </c>
    </row>
    <row r="260" spans="6:9" x14ac:dyDescent="0.3">
      <c r="F260" s="4">
        <v>44457</v>
      </c>
      <c r="G260">
        <v>48808.97</v>
      </c>
      <c r="I260" s="13">
        <v>48808.97</v>
      </c>
    </row>
    <row r="261" spans="6:9" x14ac:dyDescent="0.3">
      <c r="F261" s="4">
        <v>44458</v>
      </c>
      <c r="G261">
        <v>48333.32</v>
      </c>
      <c r="I261" s="13">
        <v>48333.32</v>
      </c>
    </row>
    <row r="262" spans="6:9" x14ac:dyDescent="0.3">
      <c r="F262" s="4">
        <v>44459</v>
      </c>
      <c r="G262">
        <v>45837.9</v>
      </c>
      <c r="H262">
        <v>4402.95</v>
      </c>
      <c r="I262" s="13">
        <v>25120.424999999999</v>
      </c>
    </row>
    <row r="263" spans="6:9" x14ac:dyDescent="0.3">
      <c r="F263" s="4">
        <v>44460</v>
      </c>
      <c r="G263">
        <v>43655.53</v>
      </c>
      <c r="H263">
        <v>4394.87</v>
      </c>
      <c r="I263" s="13">
        <v>24025.200000000001</v>
      </c>
    </row>
    <row r="264" spans="6:9" x14ac:dyDescent="0.3">
      <c r="F264" s="4">
        <v>44461</v>
      </c>
      <c r="G264">
        <v>44231.92</v>
      </c>
      <c r="H264">
        <v>4416.75</v>
      </c>
      <c r="I264" s="13">
        <v>24324.334999999999</v>
      </c>
    </row>
    <row r="265" spans="6:9" x14ac:dyDescent="0.3">
      <c r="F265" s="4">
        <v>44462</v>
      </c>
      <c r="G265">
        <v>45062.97</v>
      </c>
      <c r="H265">
        <v>4465.3999999999996</v>
      </c>
      <c r="I265" s="13">
        <v>24764.185000000001</v>
      </c>
    </row>
    <row r="266" spans="6:9" x14ac:dyDescent="0.3">
      <c r="F266" s="4">
        <v>44463</v>
      </c>
      <c r="G266">
        <v>45157.81</v>
      </c>
      <c r="H266">
        <v>4463.12</v>
      </c>
      <c r="I266" s="13">
        <v>24810.465</v>
      </c>
    </row>
    <row r="267" spans="6:9" x14ac:dyDescent="0.3">
      <c r="F267" s="4">
        <v>44464</v>
      </c>
      <c r="G267">
        <v>42985.06</v>
      </c>
      <c r="I267" s="13">
        <v>42985.06</v>
      </c>
    </row>
    <row r="268" spans="6:9" x14ac:dyDescent="0.3">
      <c r="F268" s="4">
        <v>44465</v>
      </c>
      <c r="G268">
        <v>44350</v>
      </c>
      <c r="I268" s="13">
        <v>44350</v>
      </c>
    </row>
    <row r="269" spans="6:9" x14ac:dyDescent="0.3">
      <c r="F269" s="4">
        <v>44466</v>
      </c>
      <c r="G269">
        <v>44250.76</v>
      </c>
      <c r="H269">
        <v>4457.3</v>
      </c>
      <c r="I269" s="13">
        <v>24354.030000000002</v>
      </c>
    </row>
    <row r="270" spans="6:9" x14ac:dyDescent="0.3">
      <c r="F270" s="4">
        <v>44467</v>
      </c>
      <c r="G270">
        <v>42771.12</v>
      </c>
      <c r="H270">
        <v>4419.54</v>
      </c>
      <c r="I270" s="13">
        <v>23595.33</v>
      </c>
    </row>
    <row r="271" spans="6:9" x14ac:dyDescent="0.3">
      <c r="F271" s="4">
        <v>44468</v>
      </c>
      <c r="G271">
        <v>43726.63</v>
      </c>
      <c r="H271">
        <v>4385.57</v>
      </c>
      <c r="I271" s="13">
        <v>24056.1</v>
      </c>
    </row>
    <row r="272" spans="6:9" x14ac:dyDescent="0.3">
      <c r="F272" s="4">
        <v>44469</v>
      </c>
      <c r="G272">
        <v>44097.7</v>
      </c>
      <c r="H272">
        <v>4382.55</v>
      </c>
      <c r="I272" s="13">
        <v>24240.125</v>
      </c>
    </row>
    <row r="273" spans="6:9" x14ac:dyDescent="0.3">
      <c r="F273" s="4">
        <v>44470</v>
      </c>
      <c r="G273">
        <v>48495.68</v>
      </c>
      <c r="H273">
        <v>4375.1899999999996</v>
      </c>
      <c r="I273" s="13">
        <v>26435.435000000001</v>
      </c>
    </row>
    <row r="274" spans="6:9" x14ac:dyDescent="0.3">
      <c r="F274" s="4">
        <v>44471</v>
      </c>
      <c r="G274">
        <v>48346.7</v>
      </c>
      <c r="I274" s="13">
        <v>48346.7</v>
      </c>
    </row>
    <row r="275" spans="6:9" x14ac:dyDescent="0.3">
      <c r="F275" s="4">
        <v>44472</v>
      </c>
      <c r="G275">
        <v>49259.3</v>
      </c>
      <c r="I275" s="13">
        <v>49259.3</v>
      </c>
    </row>
    <row r="276" spans="6:9" x14ac:dyDescent="0.3">
      <c r="F276" s="4">
        <v>44473</v>
      </c>
      <c r="G276">
        <v>49789.33</v>
      </c>
      <c r="H276">
        <v>4355.51</v>
      </c>
      <c r="I276" s="13">
        <v>27072.420000000002</v>
      </c>
    </row>
    <row r="277" spans="6:9" x14ac:dyDescent="0.3">
      <c r="F277" s="4">
        <v>44474</v>
      </c>
      <c r="G277">
        <v>51927.83</v>
      </c>
      <c r="H277">
        <v>4369.2299999999996</v>
      </c>
      <c r="I277" s="13">
        <v>28148.53</v>
      </c>
    </row>
    <row r="278" spans="6:9" x14ac:dyDescent="0.3">
      <c r="F278" s="4">
        <v>44475</v>
      </c>
      <c r="G278">
        <v>55800</v>
      </c>
      <c r="H278">
        <v>4365.57</v>
      </c>
      <c r="I278" s="13">
        <v>30082.785</v>
      </c>
    </row>
    <row r="279" spans="6:9" x14ac:dyDescent="0.3">
      <c r="F279" s="4">
        <v>44476</v>
      </c>
      <c r="G279">
        <v>55231.53</v>
      </c>
      <c r="H279">
        <v>4429.97</v>
      </c>
      <c r="I279" s="13">
        <v>29830.75</v>
      </c>
    </row>
    <row r="280" spans="6:9" x14ac:dyDescent="0.3">
      <c r="F280" s="4">
        <v>44477</v>
      </c>
      <c r="G280">
        <v>56150.58</v>
      </c>
      <c r="H280">
        <v>4412.0200000000004</v>
      </c>
      <c r="I280" s="13">
        <v>30281.300000000003</v>
      </c>
    </row>
    <row r="281" spans="6:9" x14ac:dyDescent="0.3">
      <c r="F281" s="4">
        <v>44478</v>
      </c>
      <c r="G281">
        <v>55486.87</v>
      </c>
      <c r="I281" s="13">
        <v>55486.87</v>
      </c>
    </row>
    <row r="282" spans="6:9" x14ac:dyDescent="0.3">
      <c r="F282" s="4">
        <v>44479</v>
      </c>
      <c r="G282">
        <v>56759.01</v>
      </c>
      <c r="I282" s="13">
        <v>56759.01</v>
      </c>
    </row>
    <row r="283" spans="6:9" x14ac:dyDescent="0.3">
      <c r="F283" s="4">
        <v>44480</v>
      </c>
      <c r="G283">
        <v>58000</v>
      </c>
      <c r="H283">
        <v>4415.88</v>
      </c>
      <c r="I283" s="13">
        <v>31207.94</v>
      </c>
    </row>
    <row r="284" spans="6:9" x14ac:dyDescent="0.3">
      <c r="F284" s="4">
        <v>44481</v>
      </c>
      <c r="G284">
        <v>57688.88</v>
      </c>
      <c r="H284">
        <v>4374.8900000000003</v>
      </c>
      <c r="I284" s="13">
        <v>31031.884999999998</v>
      </c>
    </row>
    <row r="285" spans="6:9" x14ac:dyDescent="0.3">
      <c r="F285" s="4">
        <v>44482</v>
      </c>
      <c r="G285">
        <v>58500.02</v>
      </c>
      <c r="H285">
        <v>4372.87</v>
      </c>
      <c r="I285" s="13">
        <v>31436.445</v>
      </c>
    </row>
    <row r="286" spans="6:9" x14ac:dyDescent="0.3">
      <c r="F286" s="4">
        <v>44483</v>
      </c>
      <c r="G286">
        <v>59450</v>
      </c>
      <c r="H286">
        <v>4439.7299999999996</v>
      </c>
      <c r="I286" s="13">
        <v>31944.864999999998</v>
      </c>
    </row>
    <row r="287" spans="6:9" x14ac:dyDescent="0.3">
      <c r="F287" s="4">
        <v>44484</v>
      </c>
      <c r="G287">
        <v>62898</v>
      </c>
      <c r="H287">
        <v>4475.82</v>
      </c>
      <c r="I287" s="13">
        <v>33686.910000000003</v>
      </c>
    </row>
    <row r="288" spans="6:9" x14ac:dyDescent="0.3">
      <c r="F288" s="4">
        <v>44485</v>
      </c>
      <c r="G288">
        <v>62366.080000000002</v>
      </c>
      <c r="I288" s="13">
        <v>62366.080000000002</v>
      </c>
    </row>
    <row r="289" spans="6:9" x14ac:dyDescent="0.3">
      <c r="F289" s="4">
        <v>44486</v>
      </c>
      <c r="G289">
        <v>62552.73</v>
      </c>
      <c r="I289" s="13">
        <v>62552.73</v>
      </c>
    </row>
    <row r="290" spans="6:9" x14ac:dyDescent="0.3">
      <c r="F290" s="4">
        <v>44487</v>
      </c>
      <c r="G290">
        <v>62973.38</v>
      </c>
      <c r="H290">
        <v>4488.75</v>
      </c>
      <c r="I290" s="13">
        <v>33731.065000000002</v>
      </c>
    </row>
    <row r="291" spans="6:9" x14ac:dyDescent="0.3">
      <c r="F291" s="4">
        <v>44488</v>
      </c>
      <c r="G291">
        <v>64498.12</v>
      </c>
      <c r="H291">
        <v>4520.3999999999996</v>
      </c>
      <c r="I291" s="13">
        <v>34509.26</v>
      </c>
    </row>
    <row r="292" spans="6:9" x14ac:dyDescent="0.3">
      <c r="F292" s="4">
        <v>44489</v>
      </c>
      <c r="G292">
        <v>66994.720000000001</v>
      </c>
      <c r="H292">
        <v>4540.87</v>
      </c>
      <c r="I292" s="13">
        <v>35767.794999999998</v>
      </c>
    </row>
    <row r="293" spans="6:9" x14ac:dyDescent="0.3">
      <c r="F293" s="4">
        <v>44490</v>
      </c>
      <c r="G293">
        <v>66643.14</v>
      </c>
      <c r="H293">
        <v>4551.4399999999996</v>
      </c>
      <c r="I293" s="13">
        <v>35597.29</v>
      </c>
    </row>
    <row r="294" spans="6:9" x14ac:dyDescent="0.3">
      <c r="F294" s="4">
        <v>44491</v>
      </c>
      <c r="G294">
        <v>63745.62</v>
      </c>
      <c r="H294">
        <v>4559.67</v>
      </c>
      <c r="I294" s="13">
        <v>34152.645000000004</v>
      </c>
    </row>
    <row r="295" spans="6:9" x14ac:dyDescent="0.3">
      <c r="F295" s="4">
        <v>44492</v>
      </c>
      <c r="G295">
        <v>61743.51</v>
      </c>
      <c r="I295" s="13">
        <v>61743.51</v>
      </c>
    </row>
    <row r="296" spans="6:9" x14ac:dyDescent="0.3">
      <c r="F296" s="4">
        <v>44493</v>
      </c>
      <c r="G296">
        <v>62223.14</v>
      </c>
      <c r="I296" s="13">
        <v>62223.14</v>
      </c>
    </row>
    <row r="297" spans="6:9" x14ac:dyDescent="0.3">
      <c r="F297" s="4">
        <v>44494</v>
      </c>
      <c r="G297">
        <v>63703.3</v>
      </c>
      <c r="H297">
        <v>4572.62</v>
      </c>
      <c r="I297" s="13">
        <v>34137.96</v>
      </c>
    </row>
    <row r="298" spans="6:9" x14ac:dyDescent="0.3">
      <c r="F298" s="4">
        <v>44495</v>
      </c>
      <c r="G298">
        <v>63102.8</v>
      </c>
      <c r="H298">
        <v>4598.53</v>
      </c>
      <c r="I298" s="13">
        <v>33850.665000000001</v>
      </c>
    </row>
    <row r="299" spans="6:9" x14ac:dyDescent="0.3">
      <c r="F299" s="4">
        <v>44496</v>
      </c>
      <c r="G299">
        <v>61500</v>
      </c>
      <c r="H299">
        <v>4584.57</v>
      </c>
      <c r="I299" s="13">
        <v>33042.285000000003</v>
      </c>
    </row>
    <row r="300" spans="6:9" x14ac:dyDescent="0.3">
      <c r="F300" s="4">
        <v>44497</v>
      </c>
      <c r="G300">
        <v>62508.87</v>
      </c>
      <c r="H300">
        <v>4597.55</v>
      </c>
      <c r="I300" s="13">
        <v>33553.21</v>
      </c>
    </row>
    <row r="301" spans="6:9" x14ac:dyDescent="0.3">
      <c r="F301" s="4">
        <v>44498</v>
      </c>
      <c r="G301">
        <v>62978</v>
      </c>
      <c r="H301">
        <v>4608.08</v>
      </c>
      <c r="I301" s="13">
        <v>33793.040000000001</v>
      </c>
    </row>
    <row r="302" spans="6:9" x14ac:dyDescent="0.3">
      <c r="F302" s="4">
        <v>44499</v>
      </c>
      <c r="G302">
        <v>62487.97</v>
      </c>
      <c r="I302" s="13">
        <v>62487.97</v>
      </c>
    </row>
    <row r="303" spans="6:9" x14ac:dyDescent="0.3">
      <c r="F303" s="4">
        <v>44500</v>
      </c>
      <c r="G303">
        <v>61768</v>
      </c>
      <c r="I303" s="13">
        <v>61768</v>
      </c>
    </row>
    <row r="304" spans="6:9" x14ac:dyDescent="0.3">
      <c r="F304" s="4">
        <v>44501</v>
      </c>
      <c r="G304">
        <v>62490</v>
      </c>
      <c r="H304">
        <v>4620.34</v>
      </c>
      <c r="I304" s="13">
        <v>33555.17</v>
      </c>
    </row>
    <row r="305" spans="6:9" x14ac:dyDescent="0.3">
      <c r="F305" s="4">
        <v>44502</v>
      </c>
      <c r="G305">
        <v>64319</v>
      </c>
      <c r="H305">
        <v>4635.1499999999996</v>
      </c>
      <c r="I305" s="13">
        <v>34477.074999999997</v>
      </c>
    </row>
    <row r="306" spans="6:9" x14ac:dyDescent="0.3">
      <c r="F306" s="4">
        <v>44503</v>
      </c>
      <c r="G306">
        <v>63547.54</v>
      </c>
      <c r="H306">
        <v>4663.46</v>
      </c>
      <c r="I306" s="13">
        <v>34105.5</v>
      </c>
    </row>
    <row r="307" spans="6:9" x14ac:dyDescent="0.3">
      <c r="F307" s="4">
        <v>44504</v>
      </c>
      <c r="G307">
        <v>62858.83</v>
      </c>
      <c r="H307">
        <v>4683</v>
      </c>
      <c r="I307" s="13">
        <v>33770.915000000001</v>
      </c>
    </row>
    <row r="308" spans="6:9" x14ac:dyDescent="0.3">
      <c r="F308" s="4">
        <v>44505</v>
      </c>
      <c r="G308">
        <v>64000</v>
      </c>
      <c r="H308">
        <v>4718.5</v>
      </c>
      <c r="I308" s="13">
        <v>34359.25</v>
      </c>
    </row>
    <row r="309" spans="6:9" x14ac:dyDescent="0.3">
      <c r="F309" s="4">
        <v>44506</v>
      </c>
      <c r="G309">
        <v>62338.16</v>
      </c>
      <c r="I309" s="13">
        <v>62338.16</v>
      </c>
    </row>
    <row r="310" spans="6:9" x14ac:dyDescent="0.3">
      <c r="F310" s="4">
        <v>44507</v>
      </c>
      <c r="G310">
        <v>65680</v>
      </c>
      <c r="I310" s="13">
        <v>65680</v>
      </c>
    </row>
    <row r="311" spans="6:9" x14ac:dyDescent="0.3">
      <c r="F311" s="4">
        <v>44508</v>
      </c>
      <c r="G311">
        <v>68534.11</v>
      </c>
      <c r="H311">
        <v>4714.92</v>
      </c>
      <c r="I311" s="13">
        <v>36624.514999999999</v>
      </c>
    </row>
    <row r="312" spans="6:9" x14ac:dyDescent="0.3">
      <c r="F312" s="4">
        <v>44509</v>
      </c>
      <c r="G312">
        <v>68529.52</v>
      </c>
      <c r="H312">
        <v>4708.53</v>
      </c>
      <c r="I312" s="13">
        <v>36619.025000000001</v>
      </c>
    </row>
    <row r="313" spans="6:9" x14ac:dyDescent="0.3">
      <c r="F313" s="4">
        <v>44510</v>
      </c>
      <c r="G313">
        <v>69000</v>
      </c>
      <c r="H313">
        <v>4684.8500000000004</v>
      </c>
      <c r="I313" s="13">
        <v>36842.425000000003</v>
      </c>
    </row>
    <row r="314" spans="6:9" x14ac:dyDescent="0.3">
      <c r="F314" s="4">
        <v>44511</v>
      </c>
      <c r="G314">
        <v>65587</v>
      </c>
      <c r="H314">
        <v>4664.55</v>
      </c>
      <c r="I314" s="13">
        <v>35125.775000000001</v>
      </c>
    </row>
    <row r="315" spans="6:9" x14ac:dyDescent="0.3">
      <c r="F315" s="4">
        <v>44512</v>
      </c>
      <c r="G315">
        <v>65071.49</v>
      </c>
      <c r="H315">
        <v>4688.47</v>
      </c>
      <c r="I315" s="13">
        <v>34879.979999999996</v>
      </c>
    </row>
    <row r="316" spans="6:9" x14ac:dyDescent="0.3">
      <c r="F316" s="4">
        <v>44513</v>
      </c>
      <c r="G316">
        <v>65338.87</v>
      </c>
      <c r="I316" s="13">
        <v>65338.87</v>
      </c>
    </row>
    <row r="317" spans="6:9" x14ac:dyDescent="0.3">
      <c r="F317" s="4">
        <v>44514</v>
      </c>
      <c r="G317">
        <v>66200</v>
      </c>
      <c r="I317" s="13">
        <v>66200</v>
      </c>
    </row>
    <row r="318" spans="6:9" x14ac:dyDescent="0.3">
      <c r="F318" s="4">
        <v>44515</v>
      </c>
      <c r="G318">
        <v>66340.740000000005</v>
      </c>
      <c r="H318">
        <v>4697.42</v>
      </c>
      <c r="I318" s="13">
        <v>35519.08</v>
      </c>
    </row>
    <row r="319" spans="6:9" x14ac:dyDescent="0.3">
      <c r="F319" s="4">
        <v>44516</v>
      </c>
      <c r="G319">
        <v>61558.53</v>
      </c>
      <c r="H319">
        <v>4714.95</v>
      </c>
      <c r="I319" s="13">
        <v>33136.74</v>
      </c>
    </row>
    <row r="320" spans="6:9" x14ac:dyDescent="0.3">
      <c r="F320" s="4">
        <v>44517</v>
      </c>
      <c r="G320">
        <v>60976.25</v>
      </c>
      <c r="H320">
        <v>4701.5</v>
      </c>
      <c r="I320" s="13">
        <v>32838.875</v>
      </c>
    </row>
    <row r="321" spans="6:9" x14ac:dyDescent="0.3">
      <c r="F321" s="4">
        <v>44518</v>
      </c>
      <c r="G321">
        <v>60106.3</v>
      </c>
      <c r="H321">
        <v>4708.8</v>
      </c>
      <c r="I321" s="13">
        <v>32407.550000000003</v>
      </c>
    </row>
    <row r="322" spans="6:9" x14ac:dyDescent="0.3">
      <c r="F322" s="4">
        <v>44519</v>
      </c>
      <c r="G322">
        <v>59042</v>
      </c>
      <c r="H322">
        <v>4717.75</v>
      </c>
      <c r="I322" s="13">
        <v>31879.875</v>
      </c>
    </row>
    <row r="323" spans="6:9" x14ac:dyDescent="0.3">
      <c r="F323" s="4">
        <v>44520</v>
      </c>
      <c r="G323">
        <v>59886.11</v>
      </c>
      <c r="I323" s="13">
        <v>59886.11</v>
      </c>
    </row>
    <row r="324" spans="6:9" x14ac:dyDescent="0.3">
      <c r="F324" s="4">
        <v>44521</v>
      </c>
      <c r="G324">
        <v>60061.89</v>
      </c>
      <c r="I324" s="13">
        <v>60061.89</v>
      </c>
    </row>
    <row r="325" spans="6:9" x14ac:dyDescent="0.3">
      <c r="F325" s="4">
        <v>44522</v>
      </c>
      <c r="G325">
        <v>59581.52</v>
      </c>
      <c r="H325">
        <v>4743.83</v>
      </c>
      <c r="I325" s="13">
        <v>32162.674999999999</v>
      </c>
    </row>
    <row r="326" spans="6:9" x14ac:dyDescent="0.3">
      <c r="F326" s="4">
        <v>44523</v>
      </c>
      <c r="G326">
        <v>57882.26</v>
      </c>
      <c r="H326">
        <v>4699.3900000000003</v>
      </c>
      <c r="I326" s="13">
        <v>31290.825000000001</v>
      </c>
    </row>
    <row r="327" spans="6:9" x14ac:dyDescent="0.3">
      <c r="F327" s="4">
        <v>44524</v>
      </c>
      <c r="G327">
        <v>58276.58</v>
      </c>
      <c r="H327">
        <v>4702.87</v>
      </c>
      <c r="I327" s="13">
        <v>31489.725000000002</v>
      </c>
    </row>
    <row r="328" spans="6:9" x14ac:dyDescent="0.3">
      <c r="F328" s="4">
        <v>44525</v>
      </c>
      <c r="G328">
        <v>59476.65</v>
      </c>
      <c r="I328" s="13">
        <v>59476.65</v>
      </c>
    </row>
    <row r="329" spans="6:9" x14ac:dyDescent="0.3">
      <c r="F329" s="4">
        <v>44526</v>
      </c>
      <c r="G329">
        <v>58043.76</v>
      </c>
      <c r="H329">
        <v>4664.63</v>
      </c>
      <c r="I329" s="13">
        <v>31354.195</v>
      </c>
    </row>
    <row r="330" spans="6:9" x14ac:dyDescent="0.3">
      <c r="F330" s="4">
        <v>44527</v>
      </c>
      <c r="G330">
        <v>55320.800000000003</v>
      </c>
      <c r="I330" s="13">
        <v>55320.800000000003</v>
      </c>
    </row>
    <row r="331" spans="6:9" x14ac:dyDescent="0.3">
      <c r="F331" s="4">
        <v>44528</v>
      </c>
      <c r="G331">
        <v>58265.2</v>
      </c>
      <c r="I331" s="13">
        <v>58265.2</v>
      </c>
    </row>
    <row r="332" spans="6:9" x14ac:dyDescent="0.3">
      <c r="F332" s="4">
        <v>44529</v>
      </c>
      <c r="G332">
        <v>58903.31</v>
      </c>
      <c r="H332">
        <v>4672.95</v>
      </c>
      <c r="I332" s="13">
        <v>31788.129999999997</v>
      </c>
    </row>
    <row r="333" spans="6:9" x14ac:dyDescent="0.3">
      <c r="F333" s="4">
        <v>44530</v>
      </c>
      <c r="G333">
        <v>59226.98</v>
      </c>
      <c r="H333">
        <v>4646.0200000000004</v>
      </c>
      <c r="I333" s="13">
        <v>31936.5</v>
      </c>
    </row>
    <row r="334" spans="6:9" x14ac:dyDescent="0.3">
      <c r="F334" s="4">
        <v>44531</v>
      </c>
      <c r="G334">
        <v>59105.91</v>
      </c>
      <c r="H334">
        <v>4652.9399999999996</v>
      </c>
      <c r="I334" s="13">
        <v>31879.425000000003</v>
      </c>
    </row>
    <row r="335" spans="6:9" x14ac:dyDescent="0.3">
      <c r="F335" s="4">
        <v>44532</v>
      </c>
      <c r="G335">
        <v>57277.919999999998</v>
      </c>
      <c r="H335">
        <v>4595.46</v>
      </c>
      <c r="I335" s="13">
        <v>30936.69</v>
      </c>
    </row>
    <row r="336" spans="6:9" x14ac:dyDescent="0.3">
      <c r="F336" s="4">
        <v>44533</v>
      </c>
      <c r="G336">
        <v>57673.58</v>
      </c>
      <c r="H336">
        <v>4608.03</v>
      </c>
      <c r="I336" s="13">
        <v>31140.805</v>
      </c>
    </row>
    <row r="337" spans="6:9" x14ac:dyDescent="0.3">
      <c r="F337" s="4">
        <v>44534</v>
      </c>
      <c r="G337">
        <v>52644.42</v>
      </c>
      <c r="I337" s="13">
        <v>52644.42</v>
      </c>
    </row>
    <row r="338" spans="6:9" x14ac:dyDescent="0.3">
      <c r="F338" s="4">
        <v>44535</v>
      </c>
      <c r="G338">
        <v>49786.95</v>
      </c>
      <c r="I338" s="13">
        <v>49786.95</v>
      </c>
    </row>
    <row r="339" spans="6:9" x14ac:dyDescent="0.3">
      <c r="F339" s="4">
        <v>44536</v>
      </c>
      <c r="G339">
        <v>51481.04</v>
      </c>
      <c r="H339">
        <v>4612.6000000000004</v>
      </c>
      <c r="I339" s="13">
        <v>28046.82</v>
      </c>
    </row>
    <row r="340" spans="6:9" x14ac:dyDescent="0.3">
      <c r="F340" s="4">
        <v>44537</v>
      </c>
      <c r="G340">
        <v>51982.66</v>
      </c>
      <c r="H340">
        <v>4694.04</v>
      </c>
      <c r="I340" s="13">
        <v>28338.350000000002</v>
      </c>
    </row>
    <row r="341" spans="6:9" x14ac:dyDescent="0.3">
      <c r="F341" s="4">
        <v>44538</v>
      </c>
      <c r="G341">
        <v>51269.82</v>
      </c>
      <c r="H341">
        <v>4705.0600000000004</v>
      </c>
      <c r="I341" s="13">
        <v>27987.439999999999</v>
      </c>
    </row>
    <row r="342" spans="6:9" x14ac:dyDescent="0.3">
      <c r="F342" s="4">
        <v>44539</v>
      </c>
      <c r="G342">
        <v>50362.35</v>
      </c>
      <c r="H342">
        <v>4695.26</v>
      </c>
      <c r="I342" s="13">
        <v>27528.805</v>
      </c>
    </row>
    <row r="343" spans="6:9" x14ac:dyDescent="0.3">
      <c r="F343" s="4">
        <v>44540</v>
      </c>
      <c r="G343">
        <v>49243</v>
      </c>
      <c r="H343">
        <v>4713.57</v>
      </c>
      <c r="I343" s="13">
        <v>26978.285</v>
      </c>
    </row>
    <row r="344" spans="6:9" x14ac:dyDescent="0.3">
      <c r="F344" s="4">
        <v>44541</v>
      </c>
      <c r="G344">
        <v>49699.99</v>
      </c>
      <c r="I344" s="13">
        <v>49699.99</v>
      </c>
    </row>
    <row r="345" spans="6:9" x14ac:dyDescent="0.3">
      <c r="F345" s="4">
        <v>44542</v>
      </c>
      <c r="G345">
        <v>50808.480000000003</v>
      </c>
      <c r="I345" s="13">
        <v>50808.480000000003</v>
      </c>
    </row>
    <row r="346" spans="6:9" x14ac:dyDescent="0.3">
      <c r="F346" s="4">
        <v>44543</v>
      </c>
      <c r="G346">
        <v>49348.69</v>
      </c>
      <c r="H346">
        <v>4710.3</v>
      </c>
      <c r="I346" s="13">
        <v>27029.495000000003</v>
      </c>
    </row>
    <row r="347" spans="6:9" x14ac:dyDescent="0.3">
      <c r="F347" s="4">
        <v>44544</v>
      </c>
      <c r="G347">
        <v>48784.28</v>
      </c>
      <c r="H347">
        <v>4660.47</v>
      </c>
      <c r="I347" s="13">
        <v>26722.375</v>
      </c>
    </row>
    <row r="348" spans="6:9" x14ac:dyDescent="0.3">
      <c r="F348" s="4">
        <v>44545</v>
      </c>
      <c r="G348">
        <v>49500</v>
      </c>
      <c r="H348">
        <v>4712.6000000000004</v>
      </c>
      <c r="I348" s="13">
        <v>27106.3</v>
      </c>
    </row>
    <row r="349" spans="6:9" x14ac:dyDescent="0.3">
      <c r="F349" s="4">
        <v>44546</v>
      </c>
      <c r="G349">
        <v>49466.29</v>
      </c>
      <c r="H349">
        <v>4731.99</v>
      </c>
      <c r="I349" s="13">
        <v>27099.14</v>
      </c>
    </row>
    <row r="350" spans="6:9" x14ac:dyDescent="0.3">
      <c r="F350" s="4">
        <v>44547</v>
      </c>
      <c r="G350">
        <v>48194.13</v>
      </c>
      <c r="H350">
        <v>4666.7</v>
      </c>
      <c r="I350" s="13">
        <v>26430.414999999997</v>
      </c>
    </row>
    <row r="351" spans="6:9" x14ac:dyDescent="0.3">
      <c r="F351" s="4">
        <v>44548</v>
      </c>
      <c r="G351">
        <v>47980.93</v>
      </c>
      <c r="I351" s="13">
        <v>47980.93</v>
      </c>
    </row>
    <row r="352" spans="6:9" x14ac:dyDescent="0.3">
      <c r="F352" s="4">
        <v>44549</v>
      </c>
      <c r="G352">
        <v>48306.22</v>
      </c>
      <c r="I352" s="13">
        <v>48306.22</v>
      </c>
    </row>
    <row r="353" spans="6:9" x14ac:dyDescent="0.3">
      <c r="F353" s="4">
        <v>44550</v>
      </c>
      <c r="G353">
        <v>48082.61</v>
      </c>
      <c r="H353">
        <v>4587.8999999999996</v>
      </c>
      <c r="I353" s="13">
        <v>26335.255000000001</v>
      </c>
    </row>
    <row r="354" spans="6:9" x14ac:dyDescent="0.3">
      <c r="F354" s="4">
        <v>44551</v>
      </c>
      <c r="G354">
        <v>49598.11</v>
      </c>
      <c r="H354">
        <v>4651.1400000000003</v>
      </c>
      <c r="I354" s="13">
        <v>27124.625</v>
      </c>
    </row>
    <row r="355" spans="6:9" x14ac:dyDescent="0.3">
      <c r="F355" s="4">
        <v>44552</v>
      </c>
      <c r="G355">
        <v>49548.86</v>
      </c>
      <c r="H355">
        <v>4697.67</v>
      </c>
      <c r="I355" s="13">
        <v>27123.264999999999</v>
      </c>
    </row>
    <row r="356" spans="6:9" x14ac:dyDescent="0.3">
      <c r="F356" s="4">
        <v>44553</v>
      </c>
      <c r="G356">
        <v>51533.71</v>
      </c>
      <c r="H356">
        <v>4740.74</v>
      </c>
      <c r="I356" s="13">
        <v>28137.224999999999</v>
      </c>
    </row>
    <row r="357" spans="6:9" x14ac:dyDescent="0.3">
      <c r="F357" s="4">
        <v>44554</v>
      </c>
      <c r="G357">
        <v>51866.86</v>
      </c>
      <c r="I357" s="13">
        <v>51866.86</v>
      </c>
    </row>
    <row r="358" spans="6:9" x14ac:dyDescent="0.3">
      <c r="F358" s="4">
        <v>44555</v>
      </c>
      <c r="G358">
        <v>51156.95</v>
      </c>
      <c r="I358" s="13">
        <v>51156.95</v>
      </c>
    </row>
    <row r="359" spans="6:9" x14ac:dyDescent="0.3">
      <c r="F359" s="4">
        <v>44556</v>
      </c>
      <c r="G359">
        <v>51294.26</v>
      </c>
      <c r="I359" s="13">
        <v>51294.26</v>
      </c>
    </row>
    <row r="360" spans="6:9" x14ac:dyDescent="0.3">
      <c r="F360" s="4">
        <v>44557</v>
      </c>
      <c r="G360">
        <v>52104.93</v>
      </c>
      <c r="H360">
        <v>4791.49</v>
      </c>
      <c r="I360" s="13">
        <v>28448.21</v>
      </c>
    </row>
    <row r="361" spans="6:9" x14ac:dyDescent="0.3">
      <c r="F361" s="4">
        <v>44558</v>
      </c>
      <c r="G361">
        <v>49834.68</v>
      </c>
      <c r="H361">
        <v>4807.0200000000004</v>
      </c>
      <c r="I361" s="13">
        <v>27320.85</v>
      </c>
    </row>
    <row r="362" spans="6:9" x14ac:dyDescent="0.3">
      <c r="F362" s="4">
        <v>44559</v>
      </c>
      <c r="G362">
        <v>48075.97</v>
      </c>
      <c r="H362">
        <v>4804.0600000000004</v>
      </c>
      <c r="I362" s="13">
        <v>26440.014999999999</v>
      </c>
    </row>
    <row r="363" spans="6:9" x14ac:dyDescent="0.3">
      <c r="F363" s="4">
        <v>44560</v>
      </c>
      <c r="G363">
        <v>47949.3</v>
      </c>
      <c r="H363">
        <v>4808.93</v>
      </c>
      <c r="I363" s="13">
        <v>26379.115000000002</v>
      </c>
    </row>
    <row r="364" spans="6:9" x14ac:dyDescent="0.3">
      <c r="F364" s="4">
        <v>44561</v>
      </c>
      <c r="G364">
        <v>48578.35</v>
      </c>
      <c r="H364">
        <v>4786.83</v>
      </c>
      <c r="I364" s="13">
        <v>26682.59</v>
      </c>
    </row>
    <row r="365" spans="6:9" x14ac:dyDescent="0.3">
      <c r="F365" s="4" t="s">
        <v>44</v>
      </c>
      <c r="G365">
        <v>49619.963601108051</v>
      </c>
      <c r="H365">
        <v>4291.8775793650793</v>
      </c>
      <c r="I365" s="13">
        <v>30985.905399673731</v>
      </c>
    </row>
  </sheetData>
  <conditionalFormatting sqref="B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3:I3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5148-C9A2-41AF-AA69-8DDA7B14369B}">
  <dimension ref="A1"/>
  <sheetViews>
    <sheetView tabSelected="1" workbookViewId="0"/>
  </sheetViews>
  <sheetFormatPr defaultRowHeight="15.6" x14ac:dyDescent="0.3"/>
  <sheetData>
    <row r="1" spans="1:1" x14ac:dyDescent="0.3">
      <c r="A1" s="13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3152-934B-4F06-9B86-840E5B1B237F}">
  <dimension ref="A1:L615"/>
  <sheetViews>
    <sheetView topLeftCell="A2" workbookViewId="0">
      <selection activeCell="K6" sqref="K6"/>
    </sheetView>
  </sheetViews>
  <sheetFormatPr defaultRowHeight="15.6" x14ac:dyDescent="0.3"/>
  <cols>
    <col min="1" max="1" width="10.5" bestFit="1" customWidth="1"/>
    <col min="2" max="2" width="10" bestFit="1" customWidth="1"/>
    <col min="3" max="3" width="9" bestFit="1" customWidth="1"/>
    <col min="4" max="4" width="8.8984375" bestFit="1" customWidth="1"/>
    <col min="5" max="7" width="10.09765625" bestFit="1" customWidth="1"/>
    <col min="8" max="8" width="17.29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34</v>
      </c>
    </row>
    <row r="2" spans="1:12" x14ac:dyDescent="0.3">
      <c r="A2" s="1">
        <v>44561</v>
      </c>
      <c r="B2" t="s">
        <v>32</v>
      </c>
      <c r="C2" t="s">
        <v>22</v>
      </c>
      <c r="D2" s="5">
        <v>4775.21</v>
      </c>
      <c r="E2" s="6">
        <v>4786.83</v>
      </c>
      <c r="F2" s="6">
        <v>4765.75</v>
      </c>
      <c r="G2" s="6">
        <v>4766.18</v>
      </c>
      <c r="H2" s="9">
        <v>2446190000</v>
      </c>
      <c r="I2" t="str">
        <f t="shared" ref="I2:I65" si="0">TRIM(B2)</f>
        <v>December</v>
      </c>
      <c r="J2" t="str">
        <f t="shared" ref="J2:J65" si="1">TRIM(C2)</f>
        <v>SP500</v>
      </c>
      <c r="L2" t="s">
        <v>35</v>
      </c>
    </row>
    <row r="3" spans="1:12" x14ac:dyDescent="0.3">
      <c r="A3" s="1">
        <v>44560</v>
      </c>
      <c r="B3" t="s">
        <v>32</v>
      </c>
      <c r="C3" t="s">
        <v>22</v>
      </c>
      <c r="D3" s="5">
        <v>4794.2299999999996</v>
      </c>
      <c r="E3" s="6">
        <v>4808.93</v>
      </c>
      <c r="F3" s="6">
        <v>4775.33</v>
      </c>
      <c r="G3" s="6">
        <v>4778.7299999999996</v>
      </c>
      <c r="H3" s="9">
        <v>2390990000</v>
      </c>
      <c r="I3" t="str">
        <f t="shared" si="0"/>
        <v>December</v>
      </c>
      <c r="J3" t="str">
        <f t="shared" si="1"/>
        <v>SP500</v>
      </c>
      <c r="L3" t="s">
        <v>36</v>
      </c>
    </row>
    <row r="4" spans="1:12" x14ac:dyDescent="0.3">
      <c r="A4" s="1">
        <v>44559</v>
      </c>
      <c r="B4" t="s">
        <v>32</v>
      </c>
      <c r="C4" t="s">
        <v>22</v>
      </c>
      <c r="D4" s="5">
        <v>4788.6400000000003</v>
      </c>
      <c r="E4" s="6">
        <v>4804.0600000000004</v>
      </c>
      <c r="F4" s="6">
        <v>4778.08</v>
      </c>
      <c r="G4" s="6">
        <v>4793.0600000000004</v>
      </c>
      <c r="H4" s="9">
        <v>2369370000</v>
      </c>
      <c r="I4" t="str">
        <f t="shared" si="0"/>
        <v>December</v>
      </c>
      <c r="J4" t="str">
        <f t="shared" si="1"/>
        <v>SP500</v>
      </c>
    </row>
    <row r="5" spans="1:12" x14ac:dyDescent="0.3">
      <c r="A5" s="1">
        <v>44558</v>
      </c>
      <c r="B5" t="s">
        <v>32</v>
      </c>
      <c r="C5" t="s">
        <v>22</v>
      </c>
      <c r="D5" s="5">
        <v>4795.49</v>
      </c>
      <c r="E5" s="6">
        <v>4807.0200000000004</v>
      </c>
      <c r="F5" s="6">
        <v>4780.04</v>
      </c>
      <c r="G5" s="6">
        <v>4786.3500000000004</v>
      </c>
      <c r="H5" s="9">
        <v>2217050000</v>
      </c>
      <c r="I5" t="str">
        <f t="shared" si="0"/>
        <v>December</v>
      </c>
      <c r="J5" t="str">
        <f t="shared" si="1"/>
        <v>SP500</v>
      </c>
    </row>
    <row r="6" spans="1:12" x14ac:dyDescent="0.3">
      <c r="A6" s="1">
        <v>44557</v>
      </c>
      <c r="B6" t="s">
        <v>32</v>
      </c>
      <c r="C6" t="s">
        <v>22</v>
      </c>
      <c r="D6" s="5">
        <v>4733.99</v>
      </c>
      <c r="E6" s="6">
        <v>4791.49</v>
      </c>
      <c r="F6" s="6">
        <v>4733.99</v>
      </c>
      <c r="G6" s="6">
        <v>4791.1899999999996</v>
      </c>
      <c r="H6" s="9">
        <v>2264120000</v>
      </c>
      <c r="I6" t="str">
        <f t="shared" si="0"/>
        <v>December</v>
      </c>
      <c r="J6" t="str">
        <f t="shared" si="1"/>
        <v>SP500</v>
      </c>
    </row>
    <row r="7" spans="1:12" x14ac:dyDescent="0.3">
      <c r="A7" s="1">
        <v>44553</v>
      </c>
      <c r="B7" t="s">
        <v>32</v>
      </c>
      <c r="C7" t="s">
        <v>22</v>
      </c>
      <c r="D7" s="5">
        <v>4703.96</v>
      </c>
      <c r="E7" s="6">
        <v>4740.74</v>
      </c>
      <c r="F7" s="6">
        <v>4703.96</v>
      </c>
      <c r="G7" s="6">
        <v>4725.79</v>
      </c>
      <c r="H7" s="9">
        <v>2194630000</v>
      </c>
      <c r="I7" t="str">
        <f t="shared" si="0"/>
        <v>December</v>
      </c>
      <c r="J7" t="str">
        <f t="shared" si="1"/>
        <v>SP500</v>
      </c>
    </row>
    <row r="8" spans="1:12" x14ac:dyDescent="0.3">
      <c r="A8" s="1">
        <v>44552</v>
      </c>
      <c r="B8" t="s">
        <v>32</v>
      </c>
      <c r="C8" t="s">
        <v>22</v>
      </c>
      <c r="D8" s="5">
        <v>4650.3599999999997</v>
      </c>
      <c r="E8" s="6">
        <v>4697.67</v>
      </c>
      <c r="F8" s="6">
        <v>4645.53</v>
      </c>
      <c r="G8" s="6">
        <v>4696.5600000000004</v>
      </c>
      <c r="H8" s="9">
        <v>2439570000</v>
      </c>
      <c r="I8" t="str">
        <f t="shared" si="0"/>
        <v>December</v>
      </c>
      <c r="J8" t="str">
        <f t="shared" si="1"/>
        <v>SP500</v>
      </c>
    </row>
    <row r="9" spans="1:12" x14ac:dyDescent="0.3">
      <c r="A9" s="1">
        <v>44551</v>
      </c>
      <c r="B9" t="s">
        <v>32</v>
      </c>
      <c r="C9" t="s">
        <v>22</v>
      </c>
      <c r="D9" s="5">
        <v>4594.96</v>
      </c>
      <c r="E9" s="6">
        <v>4651.1400000000003</v>
      </c>
      <c r="F9" s="6">
        <v>4583.16</v>
      </c>
      <c r="G9" s="6">
        <v>4649.2299999999996</v>
      </c>
      <c r="H9" s="9">
        <v>2564370000</v>
      </c>
      <c r="I9" t="str">
        <f t="shared" si="0"/>
        <v>December</v>
      </c>
      <c r="J9" t="str">
        <f t="shared" si="1"/>
        <v>SP500</v>
      </c>
    </row>
    <row r="10" spans="1:12" x14ac:dyDescent="0.3">
      <c r="A10" s="1">
        <v>44550</v>
      </c>
      <c r="B10" t="s">
        <v>32</v>
      </c>
      <c r="C10" t="s">
        <v>22</v>
      </c>
      <c r="D10" s="5">
        <v>4587.8999999999996</v>
      </c>
      <c r="E10" s="6">
        <v>4587.8999999999996</v>
      </c>
      <c r="F10" s="6">
        <v>4531.1000000000004</v>
      </c>
      <c r="G10" s="6">
        <v>4568.0200000000004</v>
      </c>
      <c r="H10" s="9">
        <v>3395780000</v>
      </c>
      <c r="I10" t="str">
        <f t="shared" si="0"/>
        <v>December</v>
      </c>
      <c r="J10" t="str">
        <f t="shared" si="1"/>
        <v>SP500</v>
      </c>
    </row>
    <row r="11" spans="1:12" x14ac:dyDescent="0.3">
      <c r="A11" s="1">
        <v>44547</v>
      </c>
      <c r="B11" t="s">
        <v>32</v>
      </c>
      <c r="C11" t="s">
        <v>22</v>
      </c>
      <c r="D11" s="5">
        <v>4652.5</v>
      </c>
      <c r="E11" s="6">
        <v>4666.7</v>
      </c>
      <c r="F11" s="6">
        <v>4600.22</v>
      </c>
      <c r="G11" s="6">
        <v>4620.6400000000003</v>
      </c>
      <c r="H11" s="9">
        <v>5609780000</v>
      </c>
      <c r="I11" t="str">
        <f t="shared" si="0"/>
        <v>December</v>
      </c>
      <c r="J11" t="str">
        <f t="shared" si="1"/>
        <v>SP500</v>
      </c>
    </row>
    <row r="12" spans="1:12" x14ac:dyDescent="0.3">
      <c r="A12" s="1">
        <v>44546</v>
      </c>
      <c r="B12" t="s">
        <v>32</v>
      </c>
      <c r="C12" t="s">
        <v>22</v>
      </c>
      <c r="D12" s="5">
        <v>4719.13</v>
      </c>
      <c r="E12" s="6">
        <v>4731.99</v>
      </c>
      <c r="F12" s="6">
        <v>4651.8900000000003</v>
      </c>
      <c r="G12" s="6">
        <v>4668.67</v>
      </c>
      <c r="H12" s="9">
        <v>3592810000</v>
      </c>
      <c r="I12" t="str">
        <f t="shared" si="0"/>
        <v>December</v>
      </c>
      <c r="J12" t="str">
        <f t="shared" si="1"/>
        <v>SP500</v>
      </c>
    </row>
    <row r="13" spans="1:12" x14ac:dyDescent="0.3">
      <c r="A13" s="1">
        <v>44545</v>
      </c>
      <c r="B13" t="s">
        <v>32</v>
      </c>
      <c r="C13" t="s">
        <v>22</v>
      </c>
      <c r="D13" s="5">
        <v>4636.46</v>
      </c>
      <c r="E13" s="6">
        <v>4712.6000000000004</v>
      </c>
      <c r="F13" s="6">
        <v>4611.22</v>
      </c>
      <c r="G13" s="6">
        <v>4709.8500000000004</v>
      </c>
      <c r="H13" s="9">
        <v>3367580000</v>
      </c>
      <c r="I13" t="str">
        <f t="shared" si="0"/>
        <v>December</v>
      </c>
      <c r="J13" t="str">
        <f t="shared" si="1"/>
        <v>SP500</v>
      </c>
    </row>
    <row r="14" spans="1:12" x14ac:dyDescent="0.3">
      <c r="A14" s="1">
        <v>44544</v>
      </c>
      <c r="B14" t="s">
        <v>32</v>
      </c>
      <c r="C14" t="s">
        <v>22</v>
      </c>
      <c r="D14" s="5">
        <v>4642.99</v>
      </c>
      <c r="E14" s="6">
        <v>4660.47</v>
      </c>
      <c r="F14" s="6">
        <v>4606.5200000000004</v>
      </c>
      <c r="G14" s="6">
        <v>4634.09</v>
      </c>
      <c r="H14" s="9">
        <v>3292740000</v>
      </c>
      <c r="I14" t="str">
        <f t="shared" si="0"/>
        <v>December</v>
      </c>
      <c r="J14" t="str">
        <f t="shared" si="1"/>
        <v>SP500</v>
      </c>
    </row>
    <row r="15" spans="1:12" x14ac:dyDescent="0.3">
      <c r="A15" s="1">
        <v>44543</v>
      </c>
      <c r="B15" t="s">
        <v>32</v>
      </c>
      <c r="C15" t="s">
        <v>22</v>
      </c>
      <c r="D15" s="5">
        <v>4710.3</v>
      </c>
      <c r="E15" s="6">
        <v>4710.3</v>
      </c>
      <c r="F15" s="6">
        <v>4667.6000000000004</v>
      </c>
      <c r="G15" s="6">
        <v>4668.97</v>
      </c>
      <c r="H15" s="9">
        <v>3322050000</v>
      </c>
      <c r="I15" t="str">
        <f t="shared" si="0"/>
        <v>December</v>
      </c>
      <c r="J15" t="str">
        <f t="shared" si="1"/>
        <v>SP500</v>
      </c>
    </row>
    <row r="16" spans="1:12" x14ac:dyDescent="0.3">
      <c r="A16" s="1">
        <v>44540</v>
      </c>
      <c r="B16" t="s">
        <v>32</v>
      </c>
      <c r="C16" t="s">
        <v>22</v>
      </c>
      <c r="D16" s="5">
        <v>4687.6400000000003</v>
      </c>
      <c r="E16" s="6">
        <v>4713.57</v>
      </c>
      <c r="F16" s="6">
        <v>4670.24</v>
      </c>
      <c r="G16" s="6">
        <v>4712.0200000000004</v>
      </c>
      <c r="H16" s="9">
        <v>2858310000</v>
      </c>
      <c r="I16" t="str">
        <f t="shared" si="0"/>
        <v>December</v>
      </c>
      <c r="J16" t="str">
        <f t="shared" si="1"/>
        <v>SP500</v>
      </c>
    </row>
    <row r="17" spans="1:10" x14ac:dyDescent="0.3">
      <c r="A17" s="1">
        <v>44539</v>
      </c>
      <c r="B17" t="s">
        <v>32</v>
      </c>
      <c r="C17" t="s">
        <v>22</v>
      </c>
      <c r="D17" s="5">
        <v>4691</v>
      </c>
      <c r="E17" s="6">
        <v>4695.26</v>
      </c>
      <c r="F17" s="6">
        <v>4665.9799999999996</v>
      </c>
      <c r="G17" s="6">
        <v>4667.45</v>
      </c>
      <c r="H17" s="9">
        <v>2851660000</v>
      </c>
      <c r="I17" t="str">
        <f t="shared" si="0"/>
        <v>December</v>
      </c>
      <c r="J17" t="str">
        <f t="shared" si="1"/>
        <v>SP500</v>
      </c>
    </row>
    <row r="18" spans="1:10" x14ac:dyDescent="0.3">
      <c r="A18" s="1">
        <v>44538</v>
      </c>
      <c r="B18" t="s">
        <v>32</v>
      </c>
      <c r="C18" t="s">
        <v>22</v>
      </c>
      <c r="D18" s="5">
        <v>4690.8599999999997</v>
      </c>
      <c r="E18" s="6">
        <v>4705.0600000000004</v>
      </c>
      <c r="F18" s="6">
        <v>4674.5200000000004</v>
      </c>
      <c r="G18" s="6">
        <v>4701.21</v>
      </c>
      <c r="H18" s="9">
        <v>3061550000</v>
      </c>
      <c r="I18" t="str">
        <f t="shared" si="0"/>
        <v>December</v>
      </c>
      <c r="J18" t="str">
        <f t="shared" si="1"/>
        <v>SP500</v>
      </c>
    </row>
    <row r="19" spans="1:10" x14ac:dyDescent="0.3">
      <c r="A19" s="1">
        <v>44537</v>
      </c>
      <c r="B19" t="s">
        <v>32</v>
      </c>
      <c r="C19" t="s">
        <v>22</v>
      </c>
      <c r="D19" s="5">
        <v>4631.97</v>
      </c>
      <c r="E19" s="6">
        <v>4694.04</v>
      </c>
      <c r="F19" s="6">
        <v>4631.97</v>
      </c>
      <c r="G19" s="6">
        <v>4686.75</v>
      </c>
      <c r="H19" s="9">
        <v>3334320000</v>
      </c>
      <c r="I19" t="str">
        <f t="shared" si="0"/>
        <v>December</v>
      </c>
      <c r="J19" t="str">
        <f t="shared" si="1"/>
        <v>SP500</v>
      </c>
    </row>
    <row r="20" spans="1:10" x14ac:dyDescent="0.3">
      <c r="A20" s="1">
        <v>44536</v>
      </c>
      <c r="B20" t="s">
        <v>32</v>
      </c>
      <c r="C20" t="s">
        <v>22</v>
      </c>
      <c r="D20" s="5">
        <v>4548.37</v>
      </c>
      <c r="E20" s="6">
        <v>4612.6000000000004</v>
      </c>
      <c r="F20" s="6">
        <v>4540.51</v>
      </c>
      <c r="G20" s="6">
        <v>4591.67</v>
      </c>
      <c r="H20" s="9">
        <v>3305690000</v>
      </c>
      <c r="I20" t="str">
        <f t="shared" si="0"/>
        <v>December</v>
      </c>
      <c r="J20" t="str">
        <f t="shared" si="1"/>
        <v>SP500</v>
      </c>
    </row>
    <row r="21" spans="1:10" x14ac:dyDescent="0.3">
      <c r="A21" s="1">
        <v>44533</v>
      </c>
      <c r="B21" t="s">
        <v>32</v>
      </c>
      <c r="C21" t="s">
        <v>22</v>
      </c>
      <c r="D21" s="5">
        <v>4589.49</v>
      </c>
      <c r="E21" s="6">
        <v>4608.03</v>
      </c>
      <c r="F21" s="6">
        <v>4495.12</v>
      </c>
      <c r="G21" s="6">
        <v>4538.43</v>
      </c>
      <c r="H21" s="9">
        <v>3971500000</v>
      </c>
      <c r="I21" t="str">
        <f t="shared" si="0"/>
        <v>December</v>
      </c>
      <c r="J21" t="str">
        <f t="shared" si="1"/>
        <v>SP500</v>
      </c>
    </row>
    <row r="22" spans="1:10" x14ac:dyDescent="0.3">
      <c r="A22" s="1">
        <v>44532</v>
      </c>
      <c r="B22" t="s">
        <v>32</v>
      </c>
      <c r="C22" t="s">
        <v>22</v>
      </c>
      <c r="D22" s="5">
        <v>4504.7299999999996</v>
      </c>
      <c r="E22" s="6">
        <v>4595.46</v>
      </c>
      <c r="F22" s="6">
        <v>4504.7299999999996</v>
      </c>
      <c r="G22" s="6">
        <v>4577.1000000000004</v>
      </c>
      <c r="H22" s="9">
        <v>3771510000</v>
      </c>
      <c r="I22" t="str">
        <f t="shared" si="0"/>
        <v>December</v>
      </c>
      <c r="J22" t="str">
        <f t="shared" si="1"/>
        <v>SP500</v>
      </c>
    </row>
    <row r="23" spans="1:10" x14ac:dyDescent="0.3">
      <c r="A23" s="1">
        <v>44531</v>
      </c>
      <c r="B23" t="s">
        <v>32</v>
      </c>
      <c r="C23" t="s">
        <v>22</v>
      </c>
      <c r="D23" s="5">
        <v>4602.82</v>
      </c>
      <c r="E23" s="6">
        <v>4652.9399999999996</v>
      </c>
      <c r="F23" s="6">
        <v>4510.2700000000004</v>
      </c>
      <c r="G23" s="6">
        <v>4513.04</v>
      </c>
      <c r="H23" s="9">
        <v>4078260000</v>
      </c>
      <c r="I23" t="str">
        <f t="shared" si="0"/>
        <v>December</v>
      </c>
      <c r="J23" t="str">
        <f t="shared" si="1"/>
        <v>SP500</v>
      </c>
    </row>
    <row r="24" spans="1:10" x14ac:dyDescent="0.3">
      <c r="A24" s="1">
        <v>44530</v>
      </c>
      <c r="B24" t="s">
        <v>31</v>
      </c>
      <c r="C24" t="s">
        <v>22</v>
      </c>
      <c r="D24" s="5">
        <v>4640.25</v>
      </c>
      <c r="E24" s="6">
        <v>4646.0200000000004</v>
      </c>
      <c r="F24" s="6">
        <v>4560</v>
      </c>
      <c r="G24" s="6">
        <v>4567</v>
      </c>
      <c r="H24" s="9">
        <v>4950190000</v>
      </c>
      <c r="I24" t="str">
        <f t="shared" si="0"/>
        <v>November</v>
      </c>
      <c r="J24" t="str">
        <f t="shared" si="1"/>
        <v>SP500</v>
      </c>
    </row>
    <row r="25" spans="1:10" x14ac:dyDescent="0.3">
      <c r="A25" s="1">
        <v>44529</v>
      </c>
      <c r="B25" t="s">
        <v>31</v>
      </c>
      <c r="C25" t="s">
        <v>22</v>
      </c>
      <c r="D25" s="5">
        <v>4628.75</v>
      </c>
      <c r="E25" s="6">
        <v>4672.95</v>
      </c>
      <c r="F25" s="6">
        <v>4625.26</v>
      </c>
      <c r="G25" s="6">
        <v>4655.2700000000004</v>
      </c>
      <c r="H25" s="9">
        <v>3471380000</v>
      </c>
      <c r="I25" t="str">
        <f t="shared" si="0"/>
        <v>November</v>
      </c>
      <c r="J25" t="str">
        <f t="shared" si="1"/>
        <v>SP500</v>
      </c>
    </row>
    <row r="26" spans="1:10" x14ac:dyDescent="0.3">
      <c r="A26" s="1">
        <v>44526</v>
      </c>
      <c r="B26" t="s">
        <v>31</v>
      </c>
      <c r="C26" t="s">
        <v>22</v>
      </c>
      <c r="D26" s="5">
        <v>4664.63</v>
      </c>
      <c r="E26" s="6">
        <v>4664.63</v>
      </c>
      <c r="F26" s="6">
        <v>4585.43</v>
      </c>
      <c r="G26" s="6">
        <v>4594.62</v>
      </c>
      <c r="H26" s="9">
        <v>2676740000</v>
      </c>
      <c r="I26" t="str">
        <f t="shared" si="0"/>
        <v>November</v>
      </c>
      <c r="J26" t="str">
        <f t="shared" si="1"/>
        <v>SP500</v>
      </c>
    </row>
    <row r="27" spans="1:10" x14ac:dyDescent="0.3">
      <c r="A27" s="1">
        <v>44524</v>
      </c>
      <c r="B27" t="s">
        <v>31</v>
      </c>
      <c r="C27" t="s">
        <v>22</v>
      </c>
      <c r="D27" s="5">
        <v>4675.78</v>
      </c>
      <c r="E27" s="6">
        <v>4702.87</v>
      </c>
      <c r="F27" s="6">
        <v>4659.8900000000003</v>
      </c>
      <c r="G27" s="6">
        <v>4701.46</v>
      </c>
      <c r="H27" s="9">
        <v>2464040000</v>
      </c>
      <c r="I27" t="str">
        <f t="shared" si="0"/>
        <v>November</v>
      </c>
      <c r="J27" t="str">
        <f t="shared" si="1"/>
        <v>SP500</v>
      </c>
    </row>
    <row r="28" spans="1:10" x14ac:dyDescent="0.3">
      <c r="A28" s="1">
        <v>44523</v>
      </c>
      <c r="B28" t="s">
        <v>31</v>
      </c>
      <c r="C28" t="s">
        <v>22</v>
      </c>
      <c r="D28" s="5">
        <v>4678.4799999999996</v>
      </c>
      <c r="E28" s="6">
        <v>4699.3900000000003</v>
      </c>
      <c r="F28" s="6">
        <v>4652.66</v>
      </c>
      <c r="G28" s="6">
        <v>4690.7</v>
      </c>
      <c r="H28" s="9">
        <v>3428780000</v>
      </c>
      <c r="I28" t="str">
        <f t="shared" si="0"/>
        <v>November</v>
      </c>
      <c r="J28" t="str">
        <f t="shared" si="1"/>
        <v>SP500</v>
      </c>
    </row>
    <row r="29" spans="1:10" x14ac:dyDescent="0.3">
      <c r="A29" s="1">
        <v>44522</v>
      </c>
      <c r="B29" t="s">
        <v>31</v>
      </c>
      <c r="C29" t="s">
        <v>22</v>
      </c>
      <c r="D29" s="5">
        <v>4712</v>
      </c>
      <c r="E29" s="6">
        <v>4743.83</v>
      </c>
      <c r="F29" s="6">
        <v>4682.17</v>
      </c>
      <c r="G29" s="6">
        <v>4682.9399999999996</v>
      </c>
      <c r="H29" s="9">
        <v>3206280000</v>
      </c>
      <c r="I29" t="str">
        <f t="shared" si="0"/>
        <v>November</v>
      </c>
      <c r="J29" t="str">
        <f t="shared" si="1"/>
        <v>SP500</v>
      </c>
    </row>
    <row r="30" spans="1:10" x14ac:dyDescent="0.3">
      <c r="A30" s="1">
        <v>44519</v>
      </c>
      <c r="B30" t="s">
        <v>31</v>
      </c>
      <c r="C30" t="s">
        <v>22</v>
      </c>
      <c r="D30" s="5">
        <v>4708.4399999999996</v>
      </c>
      <c r="E30" s="6">
        <v>4717.75</v>
      </c>
      <c r="F30" s="6">
        <v>4694.22</v>
      </c>
      <c r="G30" s="6">
        <v>4697.96</v>
      </c>
      <c r="H30" s="9">
        <v>3265600000</v>
      </c>
      <c r="I30" t="str">
        <f t="shared" si="0"/>
        <v>November</v>
      </c>
      <c r="J30" t="str">
        <f t="shared" si="1"/>
        <v>SP500</v>
      </c>
    </row>
    <row r="31" spans="1:10" x14ac:dyDescent="0.3">
      <c r="A31" s="1">
        <v>44518</v>
      </c>
      <c r="B31" t="s">
        <v>31</v>
      </c>
      <c r="C31" t="s">
        <v>22</v>
      </c>
      <c r="D31" s="5">
        <v>4700.72</v>
      </c>
      <c r="E31" s="6">
        <v>4708.8</v>
      </c>
      <c r="F31" s="6">
        <v>4672.78</v>
      </c>
      <c r="G31" s="6">
        <v>4704.54</v>
      </c>
      <c r="H31" s="9">
        <v>3335620000</v>
      </c>
      <c r="I31" t="str">
        <f t="shared" si="0"/>
        <v>November</v>
      </c>
      <c r="J31" t="str">
        <f t="shared" si="1"/>
        <v>SP500</v>
      </c>
    </row>
    <row r="32" spans="1:10" x14ac:dyDescent="0.3">
      <c r="A32" s="1">
        <v>44517</v>
      </c>
      <c r="B32" t="s">
        <v>31</v>
      </c>
      <c r="C32" t="s">
        <v>22</v>
      </c>
      <c r="D32" s="5">
        <v>4701.5</v>
      </c>
      <c r="E32" s="6">
        <v>4701.5</v>
      </c>
      <c r="F32" s="6">
        <v>4684.41</v>
      </c>
      <c r="G32" s="6">
        <v>4688.67</v>
      </c>
      <c r="H32" s="9">
        <v>3221250000</v>
      </c>
      <c r="I32" t="str">
        <f t="shared" si="0"/>
        <v>November</v>
      </c>
      <c r="J32" t="str">
        <f t="shared" si="1"/>
        <v>SP500</v>
      </c>
    </row>
    <row r="33" spans="1:10" x14ac:dyDescent="0.3">
      <c r="A33" s="1">
        <v>44516</v>
      </c>
      <c r="B33" t="s">
        <v>31</v>
      </c>
      <c r="C33" t="s">
        <v>22</v>
      </c>
      <c r="D33" s="5">
        <v>4679.42</v>
      </c>
      <c r="E33" s="6">
        <v>4714.95</v>
      </c>
      <c r="F33" s="6">
        <v>4679.42</v>
      </c>
      <c r="G33" s="6">
        <v>4700.8999999999996</v>
      </c>
      <c r="H33" s="9">
        <v>2838210000</v>
      </c>
      <c r="I33" t="str">
        <f t="shared" si="0"/>
        <v>November</v>
      </c>
      <c r="J33" t="str">
        <f t="shared" si="1"/>
        <v>SP500</v>
      </c>
    </row>
    <row r="34" spans="1:10" x14ac:dyDescent="0.3">
      <c r="A34" s="1">
        <v>44515</v>
      </c>
      <c r="B34" t="s">
        <v>31</v>
      </c>
      <c r="C34" t="s">
        <v>22</v>
      </c>
      <c r="D34" s="5">
        <v>4689.3</v>
      </c>
      <c r="E34" s="6">
        <v>4697.42</v>
      </c>
      <c r="F34" s="6">
        <v>4672.8599999999997</v>
      </c>
      <c r="G34" s="6">
        <v>4682.8</v>
      </c>
      <c r="H34" s="9">
        <v>2618980000</v>
      </c>
      <c r="I34" t="str">
        <f t="shared" si="0"/>
        <v>November</v>
      </c>
      <c r="J34" t="str">
        <f t="shared" si="1"/>
        <v>SP500</v>
      </c>
    </row>
    <row r="35" spans="1:10" x14ac:dyDescent="0.3">
      <c r="A35" s="1">
        <v>44512</v>
      </c>
      <c r="B35" t="s">
        <v>31</v>
      </c>
      <c r="C35" t="s">
        <v>22</v>
      </c>
      <c r="D35" s="5">
        <v>4655.24</v>
      </c>
      <c r="E35" s="6">
        <v>4688.47</v>
      </c>
      <c r="F35" s="6">
        <v>4650.7700000000004</v>
      </c>
      <c r="G35" s="6">
        <v>4682.8500000000004</v>
      </c>
      <c r="H35" s="9">
        <v>2865790000</v>
      </c>
      <c r="I35" t="str">
        <f t="shared" si="0"/>
        <v>November</v>
      </c>
      <c r="J35" t="str">
        <f t="shared" si="1"/>
        <v>SP500</v>
      </c>
    </row>
    <row r="36" spans="1:10" x14ac:dyDescent="0.3">
      <c r="A36" s="1">
        <v>44511</v>
      </c>
      <c r="B36" t="s">
        <v>31</v>
      </c>
      <c r="C36" t="s">
        <v>22</v>
      </c>
      <c r="D36" s="5">
        <v>4659.3900000000003</v>
      </c>
      <c r="E36" s="6">
        <v>4664.55</v>
      </c>
      <c r="F36" s="6">
        <v>4648.3100000000004</v>
      </c>
      <c r="G36" s="6">
        <v>4649.2700000000004</v>
      </c>
      <c r="H36" s="9">
        <v>2623140000</v>
      </c>
      <c r="I36" t="str">
        <f t="shared" si="0"/>
        <v>November</v>
      </c>
      <c r="J36" t="str">
        <f t="shared" si="1"/>
        <v>SP500</v>
      </c>
    </row>
    <row r="37" spans="1:10" x14ac:dyDescent="0.3">
      <c r="A37" s="1">
        <v>44510</v>
      </c>
      <c r="B37" t="s">
        <v>31</v>
      </c>
      <c r="C37" t="s">
        <v>22</v>
      </c>
      <c r="D37" s="5">
        <v>4670.26</v>
      </c>
      <c r="E37" s="6">
        <v>4684.8500000000004</v>
      </c>
      <c r="F37" s="6">
        <v>4630.8599999999997</v>
      </c>
      <c r="G37" s="6">
        <v>4646.71</v>
      </c>
      <c r="H37" s="9">
        <v>3581630000</v>
      </c>
      <c r="I37" t="str">
        <f t="shared" si="0"/>
        <v>November</v>
      </c>
      <c r="J37" t="str">
        <f t="shared" si="1"/>
        <v>SP500</v>
      </c>
    </row>
    <row r="38" spans="1:10" x14ac:dyDescent="0.3">
      <c r="A38" s="1">
        <v>44509</v>
      </c>
      <c r="B38" t="s">
        <v>31</v>
      </c>
      <c r="C38" t="s">
        <v>22</v>
      </c>
      <c r="D38" s="5">
        <v>4707.25</v>
      </c>
      <c r="E38" s="6">
        <v>4708.53</v>
      </c>
      <c r="F38" s="6">
        <v>4670.87</v>
      </c>
      <c r="G38" s="6">
        <v>4685.25</v>
      </c>
      <c r="H38" s="9">
        <v>3110230000</v>
      </c>
      <c r="I38" t="str">
        <f t="shared" si="0"/>
        <v>November</v>
      </c>
      <c r="J38" t="str">
        <f t="shared" si="1"/>
        <v>SP500</v>
      </c>
    </row>
    <row r="39" spans="1:10" x14ac:dyDescent="0.3">
      <c r="A39" s="1">
        <v>44508</v>
      </c>
      <c r="B39" t="s">
        <v>31</v>
      </c>
      <c r="C39" t="s">
        <v>22</v>
      </c>
      <c r="D39" s="5">
        <v>4701.4799999999996</v>
      </c>
      <c r="E39" s="6">
        <v>4714.92</v>
      </c>
      <c r="F39" s="6">
        <v>4694.3900000000003</v>
      </c>
      <c r="G39" s="6">
        <v>4701.7</v>
      </c>
      <c r="H39" s="9">
        <v>3465720000</v>
      </c>
      <c r="I39" t="str">
        <f t="shared" si="0"/>
        <v>November</v>
      </c>
      <c r="J39" t="str">
        <f t="shared" si="1"/>
        <v>SP500</v>
      </c>
    </row>
    <row r="40" spans="1:10" x14ac:dyDescent="0.3">
      <c r="A40" s="1">
        <v>44505</v>
      </c>
      <c r="B40" t="s">
        <v>31</v>
      </c>
      <c r="C40" t="s">
        <v>22</v>
      </c>
      <c r="D40" s="5">
        <v>4699.26</v>
      </c>
      <c r="E40" s="6">
        <v>4718.5</v>
      </c>
      <c r="F40" s="6">
        <v>4681.32</v>
      </c>
      <c r="G40" s="6">
        <v>4697.53</v>
      </c>
      <c r="H40" s="9">
        <v>3491150000</v>
      </c>
      <c r="I40" t="str">
        <f t="shared" si="0"/>
        <v>November</v>
      </c>
      <c r="J40" t="str">
        <f t="shared" si="1"/>
        <v>SP500</v>
      </c>
    </row>
    <row r="41" spans="1:10" x14ac:dyDescent="0.3">
      <c r="A41" s="1">
        <v>44504</v>
      </c>
      <c r="B41" t="s">
        <v>31</v>
      </c>
      <c r="C41" t="s">
        <v>22</v>
      </c>
      <c r="D41" s="5">
        <v>4662.93</v>
      </c>
      <c r="E41" s="6">
        <v>4683</v>
      </c>
      <c r="F41" s="6">
        <v>4662.59</v>
      </c>
      <c r="G41" s="6">
        <v>4680.0600000000004</v>
      </c>
      <c r="H41" s="9">
        <v>3332940000</v>
      </c>
      <c r="I41" t="str">
        <f t="shared" si="0"/>
        <v>November</v>
      </c>
      <c r="J41" t="str">
        <f t="shared" si="1"/>
        <v>SP500</v>
      </c>
    </row>
    <row r="42" spans="1:10" x14ac:dyDescent="0.3">
      <c r="A42" s="1">
        <v>44503</v>
      </c>
      <c r="B42" t="s">
        <v>31</v>
      </c>
      <c r="C42" t="s">
        <v>22</v>
      </c>
      <c r="D42" s="5">
        <v>4630.6499999999996</v>
      </c>
      <c r="E42" s="6">
        <v>4663.46</v>
      </c>
      <c r="F42" s="6">
        <v>4621.1899999999996</v>
      </c>
      <c r="G42" s="6">
        <v>4660.57</v>
      </c>
      <c r="H42" s="9">
        <v>3339440000</v>
      </c>
      <c r="I42" t="str">
        <f t="shared" si="0"/>
        <v>November</v>
      </c>
      <c r="J42" t="str">
        <f t="shared" si="1"/>
        <v>SP500</v>
      </c>
    </row>
    <row r="43" spans="1:10" x14ac:dyDescent="0.3">
      <c r="A43" s="1">
        <v>44502</v>
      </c>
      <c r="B43" t="s">
        <v>31</v>
      </c>
      <c r="C43" t="s">
        <v>22</v>
      </c>
      <c r="D43" s="5">
        <v>4613.34</v>
      </c>
      <c r="E43" s="6">
        <v>4635.1499999999996</v>
      </c>
      <c r="F43" s="6">
        <v>4613.34</v>
      </c>
      <c r="G43" s="6">
        <v>4630.6499999999996</v>
      </c>
      <c r="H43" s="9">
        <v>3309690000</v>
      </c>
      <c r="I43" t="str">
        <f t="shared" si="0"/>
        <v>November</v>
      </c>
      <c r="J43" t="str">
        <f t="shared" si="1"/>
        <v>SP500</v>
      </c>
    </row>
    <row r="44" spans="1:10" x14ac:dyDescent="0.3">
      <c r="A44" s="1">
        <v>44501</v>
      </c>
      <c r="B44" t="s">
        <v>31</v>
      </c>
      <c r="C44" t="s">
        <v>22</v>
      </c>
      <c r="D44" s="5">
        <v>4610.62</v>
      </c>
      <c r="E44" s="6">
        <v>4620.34</v>
      </c>
      <c r="F44" s="6">
        <v>4595.0600000000004</v>
      </c>
      <c r="G44" s="6">
        <v>4613.67</v>
      </c>
      <c r="H44" s="9">
        <v>2924000000</v>
      </c>
      <c r="I44" t="str">
        <f t="shared" si="0"/>
        <v>November</v>
      </c>
      <c r="J44" t="str">
        <f t="shared" si="1"/>
        <v>SP500</v>
      </c>
    </row>
    <row r="45" spans="1:10" x14ac:dyDescent="0.3">
      <c r="A45" s="1">
        <v>44498</v>
      </c>
      <c r="B45" t="s">
        <v>30</v>
      </c>
      <c r="C45" t="s">
        <v>22</v>
      </c>
      <c r="D45" s="5">
        <v>4572.87</v>
      </c>
      <c r="E45" s="6">
        <v>4608.08</v>
      </c>
      <c r="F45" s="6">
        <v>4567.59</v>
      </c>
      <c r="G45" s="6">
        <v>4605.38</v>
      </c>
      <c r="H45" s="9">
        <v>3632260000</v>
      </c>
      <c r="I45" t="str">
        <f t="shared" si="0"/>
        <v>October</v>
      </c>
      <c r="J45" t="str">
        <f t="shared" si="1"/>
        <v>SP500</v>
      </c>
    </row>
    <row r="46" spans="1:10" x14ac:dyDescent="0.3">
      <c r="A46" s="1">
        <v>44497</v>
      </c>
      <c r="B46" t="s">
        <v>30</v>
      </c>
      <c r="C46" t="s">
        <v>22</v>
      </c>
      <c r="D46" s="5">
        <v>4562.84</v>
      </c>
      <c r="E46" s="6">
        <v>4597.55</v>
      </c>
      <c r="F46" s="6">
        <v>4562.84</v>
      </c>
      <c r="G46" s="6">
        <v>4596.42</v>
      </c>
      <c r="H46" s="9">
        <v>3197560000</v>
      </c>
      <c r="I46" t="str">
        <f t="shared" si="0"/>
        <v>October</v>
      </c>
      <c r="J46" t="str">
        <f t="shared" si="1"/>
        <v>SP500</v>
      </c>
    </row>
    <row r="47" spans="1:10" x14ac:dyDescent="0.3">
      <c r="A47" s="1">
        <v>44496</v>
      </c>
      <c r="B47" t="s">
        <v>30</v>
      </c>
      <c r="C47" t="s">
        <v>22</v>
      </c>
      <c r="D47" s="5">
        <v>4580.22</v>
      </c>
      <c r="E47" s="6">
        <v>4584.57</v>
      </c>
      <c r="F47" s="6">
        <v>4551.66</v>
      </c>
      <c r="G47" s="6">
        <v>4551.68</v>
      </c>
      <c r="H47" s="9">
        <v>3259510000</v>
      </c>
      <c r="I47" t="str">
        <f t="shared" si="0"/>
        <v>October</v>
      </c>
      <c r="J47" t="str">
        <f t="shared" si="1"/>
        <v>SP500</v>
      </c>
    </row>
    <row r="48" spans="1:10" x14ac:dyDescent="0.3">
      <c r="A48" s="1">
        <v>44495</v>
      </c>
      <c r="B48" t="s">
        <v>30</v>
      </c>
      <c r="C48" t="s">
        <v>22</v>
      </c>
      <c r="D48" s="5">
        <v>4578.6899999999996</v>
      </c>
      <c r="E48" s="6">
        <v>4598.53</v>
      </c>
      <c r="F48" s="6">
        <v>4569.17</v>
      </c>
      <c r="G48" s="6">
        <v>4574.79</v>
      </c>
      <c r="H48" s="9">
        <v>2866500000</v>
      </c>
      <c r="I48" t="str">
        <f t="shared" si="0"/>
        <v>October</v>
      </c>
      <c r="J48" t="str">
        <f t="shared" si="1"/>
        <v>SP500</v>
      </c>
    </row>
    <row r="49" spans="1:10" x14ac:dyDescent="0.3">
      <c r="A49" s="1">
        <v>44494</v>
      </c>
      <c r="B49" t="s">
        <v>30</v>
      </c>
      <c r="C49" t="s">
        <v>22</v>
      </c>
      <c r="D49" s="5">
        <v>4553.6899999999996</v>
      </c>
      <c r="E49" s="6">
        <v>4572.62</v>
      </c>
      <c r="F49" s="6">
        <v>4537.3599999999997</v>
      </c>
      <c r="G49" s="6">
        <v>4566.4799999999996</v>
      </c>
      <c r="H49" s="9">
        <v>3250210000</v>
      </c>
      <c r="I49" t="str">
        <f t="shared" si="0"/>
        <v>October</v>
      </c>
      <c r="J49" t="str">
        <f t="shared" si="1"/>
        <v>SP500</v>
      </c>
    </row>
    <row r="50" spans="1:10" x14ac:dyDescent="0.3">
      <c r="A50" s="1">
        <v>44491</v>
      </c>
      <c r="B50" t="s">
        <v>30</v>
      </c>
      <c r="C50" t="s">
        <v>22</v>
      </c>
      <c r="D50" s="5">
        <v>4546.12</v>
      </c>
      <c r="E50" s="6">
        <v>4559.67</v>
      </c>
      <c r="F50" s="6">
        <v>4524</v>
      </c>
      <c r="G50" s="6">
        <v>4544.8999999999996</v>
      </c>
      <c r="H50" s="9">
        <v>3062810000</v>
      </c>
      <c r="I50" t="str">
        <f t="shared" si="0"/>
        <v>October</v>
      </c>
      <c r="J50" t="str">
        <f t="shared" si="1"/>
        <v>SP500</v>
      </c>
    </row>
    <row r="51" spans="1:10" x14ac:dyDescent="0.3">
      <c r="A51" s="1">
        <v>44490</v>
      </c>
      <c r="B51" t="s">
        <v>30</v>
      </c>
      <c r="C51" t="s">
        <v>22</v>
      </c>
      <c r="D51" s="5">
        <v>4532.24</v>
      </c>
      <c r="E51" s="6">
        <v>4551.4399999999996</v>
      </c>
      <c r="F51" s="6">
        <v>4526.8900000000003</v>
      </c>
      <c r="G51" s="6">
        <v>4549.78</v>
      </c>
      <c r="H51" s="9">
        <v>3016950000</v>
      </c>
      <c r="I51" t="str">
        <f t="shared" si="0"/>
        <v>October</v>
      </c>
      <c r="J51" t="str">
        <f t="shared" si="1"/>
        <v>SP500</v>
      </c>
    </row>
    <row r="52" spans="1:10" x14ac:dyDescent="0.3">
      <c r="A52" s="1">
        <v>44489</v>
      </c>
      <c r="B52" t="s">
        <v>30</v>
      </c>
      <c r="C52" t="s">
        <v>22</v>
      </c>
      <c r="D52" s="5">
        <v>4524.42</v>
      </c>
      <c r="E52" s="6">
        <v>4540.87</v>
      </c>
      <c r="F52" s="6">
        <v>4524.3999999999996</v>
      </c>
      <c r="G52" s="6">
        <v>4536.1899999999996</v>
      </c>
      <c r="H52" s="9">
        <v>2671560000</v>
      </c>
      <c r="I52" t="str">
        <f t="shared" si="0"/>
        <v>October</v>
      </c>
      <c r="J52" t="str">
        <f t="shared" si="1"/>
        <v>SP500</v>
      </c>
    </row>
    <row r="53" spans="1:10" x14ac:dyDescent="0.3">
      <c r="A53" s="1">
        <v>44488</v>
      </c>
      <c r="B53" t="s">
        <v>30</v>
      </c>
      <c r="C53" t="s">
        <v>22</v>
      </c>
      <c r="D53" s="5">
        <v>4497.34</v>
      </c>
      <c r="E53" s="6">
        <v>4520.3999999999996</v>
      </c>
      <c r="F53" s="6">
        <v>4496.41</v>
      </c>
      <c r="G53" s="6">
        <v>4519.63</v>
      </c>
      <c r="H53" s="9">
        <v>2531210000</v>
      </c>
      <c r="I53" t="str">
        <f t="shared" si="0"/>
        <v>October</v>
      </c>
      <c r="J53" t="str">
        <f t="shared" si="1"/>
        <v>SP500</v>
      </c>
    </row>
    <row r="54" spans="1:10" x14ac:dyDescent="0.3">
      <c r="A54" s="1">
        <v>44487</v>
      </c>
      <c r="B54" t="s">
        <v>30</v>
      </c>
      <c r="C54" t="s">
        <v>22</v>
      </c>
      <c r="D54" s="5">
        <v>4463.72</v>
      </c>
      <c r="E54" s="6">
        <v>4488.75</v>
      </c>
      <c r="F54" s="6">
        <v>4447.47</v>
      </c>
      <c r="G54" s="6">
        <v>4486.46</v>
      </c>
      <c r="H54" s="9">
        <v>2683540000</v>
      </c>
      <c r="I54" t="str">
        <f t="shared" si="0"/>
        <v>October</v>
      </c>
      <c r="J54" t="str">
        <f t="shared" si="1"/>
        <v>SP500</v>
      </c>
    </row>
    <row r="55" spans="1:10" x14ac:dyDescent="0.3">
      <c r="A55" s="1">
        <v>44484</v>
      </c>
      <c r="B55" t="s">
        <v>30</v>
      </c>
      <c r="C55" t="s">
        <v>22</v>
      </c>
      <c r="D55" s="5">
        <v>4447.6899999999996</v>
      </c>
      <c r="E55" s="6">
        <v>4475.82</v>
      </c>
      <c r="F55" s="6">
        <v>4447.6899999999996</v>
      </c>
      <c r="G55" s="6">
        <v>4471.37</v>
      </c>
      <c r="H55" s="9">
        <v>3000560000</v>
      </c>
      <c r="I55" t="str">
        <f t="shared" si="0"/>
        <v>October</v>
      </c>
      <c r="J55" t="str">
        <f t="shared" si="1"/>
        <v>SP500</v>
      </c>
    </row>
    <row r="56" spans="1:10" x14ac:dyDescent="0.3">
      <c r="A56" s="1">
        <v>44483</v>
      </c>
      <c r="B56" t="s">
        <v>30</v>
      </c>
      <c r="C56" t="s">
        <v>22</v>
      </c>
      <c r="D56" s="5">
        <v>4386.75</v>
      </c>
      <c r="E56" s="6">
        <v>4439.7299999999996</v>
      </c>
      <c r="F56" s="6">
        <v>4386.75</v>
      </c>
      <c r="G56" s="6">
        <v>4438.26</v>
      </c>
      <c r="H56" s="9">
        <v>2642920000</v>
      </c>
      <c r="I56" t="str">
        <f t="shared" si="0"/>
        <v>October</v>
      </c>
      <c r="J56" t="str">
        <f t="shared" si="1"/>
        <v>SP500</v>
      </c>
    </row>
    <row r="57" spans="1:10" x14ac:dyDescent="0.3">
      <c r="A57" s="1">
        <v>44482</v>
      </c>
      <c r="B57" t="s">
        <v>30</v>
      </c>
      <c r="C57" t="s">
        <v>22</v>
      </c>
      <c r="D57" s="5">
        <v>4358.01</v>
      </c>
      <c r="E57" s="6">
        <v>4372.87</v>
      </c>
      <c r="F57" s="6">
        <v>4329.92</v>
      </c>
      <c r="G57" s="6">
        <v>4363.8</v>
      </c>
      <c r="H57" s="9">
        <v>2926460000</v>
      </c>
      <c r="I57" t="str">
        <f t="shared" si="0"/>
        <v>October</v>
      </c>
      <c r="J57" t="str">
        <f t="shared" si="1"/>
        <v>SP500</v>
      </c>
    </row>
    <row r="58" spans="1:10" x14ac:dyDescent="0.3">
      <c r="A58" s="1">
        <v>44481</v>
      </c>
      <c r="B58" t="s">
        <v>30</v>
      </c>
      <c r="C58" t="s">
        <v>22</v>
      </c>
      <c r="D58" s="5">
        <v>4368.3100000000004</v>
      </c>
      <c r="E58" s="6">
        <v>4374.8900000000003</v>
      </c>
      <c r="F58" s="6">
        <v>4342.09</v>
      </c>
      <c r="G58" s="6">
        <v>4350.6499999999996</v>
      </c>
      <c r="H58" s="9">
        <v>2608150000</v>
      </c>
      <c r="I58" t="str">
        <f t="shared" si="0"/>
        <v>October</v>
      </c>
      <c r="J58" t="str">
        <f t="shared" si="1"/>
        <v>SP500</v>
      </c>
    </row>
    <row r="59" spans="1:10" x14ac:dyDescent="0.3">
      <c r="A59" s="1">
        <v>44480</v>
      </c>
      <c r="B59" t="s">
        <v>30</v>
      </c>
      <c r="C59" t="s">
        <v>22</v>
      </c>
      <c r="D59" s="5">
        <v>4385.4399999999996</v>
      </c>
      <c r="E59" s="6">
        <v>4415.88</v>
      </c>
      <c r="F59" s="6">
        <v>4360.59</v>
      </c>
      <c r="G59" s="6">
        <v>4361.1899999999996</v>
      </c>
      <c r="H59" s="9">
        <v>2580000000</v>
      </c>
      <c r="I59" t="str">
        <f t="shared" si="0"/>
        <v>October</v>
      </c>
      <c r="J59" t="str">
        <f t="shared" si="1"/>
        <v>SP500</v>
      </c>
    </row>
    <row r="60" spans="1:10" x14ac:dyDescent="0.3">
      <c r="A60" s="1">
        <v>44477</v>
      </c>
      <c r="B60" t="s">
        <v>30</v>
      </c>
      <c r="C60" t="s">
        <v>22</v>
      </c>
      <c r="D60" s="5">
        <v>4406.51</v>
      </c>
      <c r="E60" s="6">
        <v>4412.0200000000004</v>
      </c>
      <c r="F60" s="6">
        <v>4386.22</v>
      </c>
      <c r="G60" s="6">
        <v>4391.34</v>
      </c>
      <c r="H60" s="9">
        <v>2401890000</v>
      </c>
      <c r="I60" t="str">
        <f t="shared" si="0"/>
        <v>October</v>
      </c>
      <c r="J60" t="str">
        <f t="shared" si="1"/>
        <v>SP500</v>
      </c>
    </row>
    <row r="61" spans="1:10" x14ac:dyDescent="0.3">
      <c r="A61" s="1">
        <v>44476</v>
      </c>
      <c r="B61" t="s">
        <v>30</v>
      </c>
      <c r="C61" t="s">
        <v>22</v>
      </c>
      <c r="D61" s="5">
        <v>4383.7299999999996</v>
      </c>
      <c r="E61" s="6">
        <v>4429.97</v>
      </c>
      <c r="F61" s="6">
        <v>4383.7299999999996</v>
      </c>
      <c r="G61" s="6">
        <v>4399.76</v>
      </c>
      <c r="H61" s="9">
        <v>3096080000</v>
      </c>
      <c r="I61" t="str">
        <f t="shared" si="0"/>
        <v>October</v>
      </c>
      <c r="J61" t="str">
        <f t="shared" si="1"/>
        <v>SP500</v>
      </c>
    </row>
    <row r="62" spans="1:10" x14ac:dyDescent="0.3">
      <c r="A62" s="1">
        <v>44475</v>
      </c>
      <c r="B62" t="s">
        <v>30</v>
      </c>
      <c r="C62" t="s">
        <v>22</v>
      </c>
      <c r="D62" s="5">
        <v>4319.57</v>
      </c>
      <c r="E62" s="6">
        <v>4365.57</v>
      </c>
      <c r="F62" s="6">
        <v>4290.49</v>
      </c>
      <c r="G62" s="6">
        <v>4363.55</v>
      </c>
      <c r="H62" s="9">
        <v>3219590000</v>
      </c>
      <c r="I62" t="str">
        <f t="shared" si="0"/>
        <v>October</v>
      </c>
      <c r="J62" t="str">
        <f t="shared" si="1"/>
        <v>SP500</v>
      </c>
    </row>
    <row r="63" spans="1:10" x14ac:dyDescent="0.3">
      <c r="A63" s="1">
        <v>44474</v>
      </c>
      <c r="B63" t="s">
        <v>30</v>
      </c>
      <c r="C63" t="s">
        <v>22</v>
      </c>
      <c r="D63" s="5">
        <v>4309.87</v>
      </c>
      <c r="E63" s="6">
        <v>4369.2299999999996</v>
      </c>
      <c r="F63" s="6">
        <v>4309.87</v>
      </c>
      <c r="G63" s="6">
        <v>4345.72</v>
      </c>
      <c r="H63" s="9">
        <v>2967400000</v>
      </c>
      <c r="I63" t="str">
        <f t="shared" si="0"/>
        <v>October</v>
      </c>
      <c r="J63" t="str">
        <f t="shared" si="1"/>
        <v>SP500</v>
      </c>
    </row>
    <row r="64" spans="1:10" x14ac:dyDescent="0.3">
      <c r="A64" s="1">
        <v>44473</v>
      </c>
      <c r="B64" t="s">
        <v>30</v>
      </c>
      <c r="C64" t="s">
        <v>22</v>
      </c>
      <c r="D64" s="5">
        <v>4348.84</v>
      </c>
      <c r="E64" s="6">
        <v>4355.51</v>
      </c>
      <c r="F64" s="6">
        <v>4278.9399999999996</v>
      </c>
      <c r="G64" s="6">
        <v>4300.46</v>
      </c>
      <c r="H64" s="9">
        <v>3110560000</v>
      </c>
      <c r="I64" t="str">
        <f t="shared" si="0"/>
        <v>October</v>
      </c>
      <c r="J64" t="str">
        <f t="shared" si="1"/>
        <v>SP500</v>
      </c>
    </row>
    <row r="65" spans="1:10" x14ac:dyDescent="0.3">
      <c r="A65" s="1">
        <v>44470</v>
      </c>
      <c r="B65" t="s">
        <v>30</v>
      </c>
      <c r="C65" t="s">
        <v>22</v>
      </c>
      <c r="D65" s="5">
        <v>4317.16</v>
      </c>
      <c r="E65" s="6">
        <v>4375.1899999999996</v>
      </c>
      <c r="F65" s="6">
        <v>4288.5200000000004</v>
      </c>
      <c r="G65" s="6">
        <v>4357.04</v>
      </c>
      <c r="H65" s="9">
        <v>3148980000</v>
      </c>
      <c r="I65" t="str">
        <f t="shared" si="0"/>
        <v>October</v>
      </c>
      <c r="J65" t="str">
        <f t="shared" si="1"/>
        <v>SP500</v>
      </c>
    </row>
    <row r="66" spans="1:10" x14ac:dyDescent="0.3">
      <c r="A66" s="1">
        <v>44469</v>
      </c>
      <c r="B66" t="s">
        <v>29</v>
      </c>
      <c r="C66" t="s">
        <v>22</v>
      </c>
      <c r="D66" s="5">
        <v>4370.67</v>
      </c>
      <c r="E66" s="6">
        <v>4382.55</v>
      </c>
      <c r="F66" s="6">
        <v>4306.24</v>
      </c>
      <c r="G66" s="6">
        <v>4307.54</v>
      </c>
      <c r="H66" s="9">
        <v>3123770000</v>
      </c>
      <c r="I66" t="str">
        <f t="shared" ref="I66:I129" si="2">TRIM(B66)</f>
        <v>September</v>
      </c>
      <c r="J66" t="str">
        <f t="shared" ref="J66:J129" si="3">TRIM(C66)</f>
        <v>SP500</v>
      </c>
    </row>
    <row r="67" spans="1:10" x14ac:dyDescent="0.3">
      <c r="A67" s="1">
        <v>44468</v>
      </c>
      <c r="B67" t="s">
        <v>29</v>
      </c>
      <c r="C67" t="s">
        <v>22</v>
      </c>
      <c r="D67" s="5">
        <v>4362.41</v>
      </c>
      <c r="E67" s="6">
        <v>4385.57</v>
      </c>
      <c r="F67" s="6">
        <v>4355.08</v>
      </c>
      <c r="G67" s="6">
        <v>4359.46</v>
      </c>
      <c r="H67" s="9">
        <v>2753800000</v>
      </c>
      <c r="I67" t="str">
        <f t="shared" si="2"/>
        <v>September</v>
      </c>
      <c r="J67" t="str">
        <f t="shared" si="3"/>
        <v>SP500</v>
      </c>
    </row>
    <row r="68" spans="1:10" x14ac:dyDescent="0.3">
      <c r="A68" s="1">
        <v>44467</v>
      </c>
      <c r="B68" t="s">
        <v>29</v>
      </c>
      <c r="C68" t="s">
        <v>22</v>
      </c>
      <c r="D68" s="5">
        <v>4419.54</v>
      </c>
      <c r="E68" s="6">
        <v>4419.54</v>
      </c>
      <c r="F68" s="6">
        <v>4346.33</v>
      </c>
      <c r="G68" s="6">
        <v>4352.63</v>
      </c>
      <c r="H68" s="9">
        <v>3495970000</v>
      </c>
      <c r="I68" t="str">
        <f t="shared" si="2"/>
        <v>September</v>
      </c>
      <c r="J68" t="str">
        <f t="shared" si="3"/>
        <v>SP500</v>
      </c>
    </row>
    <row r="69" spans="1:10" x14ac:dyDescent="0.3">
      <c r="A69" s="1">
        <v>44466</v>
      </c>
      <c r="B69" t="s">
        <v>29</v>
      </c>
      <c r="C69" t="s">
        <v>22</v>
      </c>
      <c r="D69" s="5">
        <v>4442.12</v>
      </c>
      <c r="E69" s="6">
        <v>4457.3</v>
      </c>
      <c r="F69" s="6">
        <v>4436.1899999999996</v>
      </c>
      <c r="G69" s="6">
        <v>4443.1099999999997</v>
      </c>
      <c r="H69" s="9">
        <v>3032870000</v>
      </c>
      <c r="I69" t="str">
        <f t="shared" si="2"/>
        <v>September</v>
      </c>
      <c r="J69" t="str">
        <f t="shared" si="3"/>
        <v>SP500</v>
      </c>
    </row>
    <row r="70" spans="1:10" x14ac:dyDescent="0.3">
      <c r="A70" s="1">
        <v>44463</v>
      </c>
      <c r="B70" t="s">
        <v>29</v>
      </c>
      <c r="C70" t="s">
        <v>22</v>
      </c>
      <c r="D70" s="5">
        <v>4438.04</v>
      </c>
      <c r="E70" s="6">
        <v>4463.12</v>
      </c>
      <c r="F70" s="6">
        <v>4430.2700000000004</v>
      </c>
      <c r="G70" s="6">
        <v>4455.4799999999996</v>
      </c>
      <c r="H70" s="9">
        <v>2772090000</v>
      </c>
      <c r="I70" t="str">
        <f t="shared" si="2"/>
        <v>September</v>
      </c>
      <c r="J70" t="str">
        <f t="shared" si="3"/>
        <v>SP500</v>
      </c>
    </row>
    <row r="71" spans="1:10" x14ac:dyDescent="0.3">
      <c r="A71" s="1">
        <v>44462</v>
      </c>
      <c r="B71" t="s">
        <v>29</v>
      </c>
      <c r="C71" t="s">
        <v>22</v>
      </c>
      <c r="D71" s="5">
        <v>4406.75</v>
      </c>
      <c r="E71" s="6">
        <v>4465.3999999999996</v>
      </c>
      <c r="F71" s="6">
        <v>4406.75</v>
      </c>
      <c r="G71" s="6">
        <v>4448.9799999999996</v>
      </c>
      <c r="H71" s="9">
        <v>2833290000</v>
      </c>
      <c r="I71" t="str">
        <f t="shared" si="2"/>
        <v>September</v>
      </c>
      <c r="J71" t="str">
        <f t="shared" si="3"/>
        <v>SP500</v>
      </c>
    </row>
    <row r="72" spans="1:10" x14ac:dyDescent="0.3">
      <c r="A72" s="1">
        <v>44461</v>
      </c>
      <c r="B72" t="s">
        <v>29</v>
      </c>
      <c r="C72" t="s">
        <v>22</v>
      </c>
      <c r="D72" s="5">
        <v>4367.43</v>
      </c>
      <c r="E72" s="6">
        <v>4416.75</v>
      </c>
      <c r="F72" s="6">
        <v>4367.43</v>
      </c>
      <c r="G72" s="6">
        <v>4395.6400000000003</v>
      </c>
      <c r="H72" s="9">
        <v>3273670000</v>
      </c>
      <c r="I72" t="str">
        <f t="shared" si="2"/>
        <v>September</v>
      </c>
      <c r="J72" t="str">
        <f t="shared" si="3"/>
        <v>SP500</v>
      </c>
    </row>
    <row r="73" spans="1:10" x14ac:dyDescent="0.3">
      <c r="A73" s="1">
        <v>44460</v>
      </c>
      <c r="B73" t="s">
        <v>29</v>
      </c>
      <c r="C73" t="s">
        <v>22</v>
      </c>
      <c r="D73" s="5">
        <v>4374.45</v>
      </c>
      <c r="E73" s="6">
        <v>4394.87</v>
      </c>
      <c r="F73" s="6">
        <v>4347.96</v>
      </c>
      <c r="G73" s="6">
        <v>4354.1899999999996</v>
      </c>
      <c r="H73" s="9">
        <v>3044300000</v>
      </c>
      <c r="I73" t="str">
        <f t="shared" si="2"/>
        <v>September</v>
      </c>
      <c r="J73" t="str">
        <f t="shared" si="3"/>
        <v>SP500</v>
      </c>
    </row>
    <row r="74" spans="1:10" x14ac:dyDescent="0.3">
      <c r="A74" s="1">
        <v>44459</v>
      </c>
      <c r="B74" t="s">
        <v>29</v>
      </c>
      <c r="C74" t="s">
        <v>22</v>
      </c>
      <c r="D74" s="5">
        <v>4402.95</v>
      </c>
      <c r="E74" s="6">
        <v>4402.95</v>
      </c>
      <c r="F74" s="6">
        <v>4305.91</v>
      </c>
      <c r="G74" s="6">
        <v>4357.7299999999996</v>
      </c>
      <c r="H74" s="9">
        <v>3773680000</v>
      </c>
      <c r="I74" t="str">
        <f t="shared" si="2"/>
        <v>September</v>
      </c>
      <c r="J74" t="str">
        <f t="shared" si="3"/>
        <v>SP500</v>
      </c>
    </row>
    <row r="75" spans="1:10" x14ac:dyDescent="0.3">
      <c r="A75" s="1">
        <v>44456</v>
      </c>
      <c r="B75" t="s">
        <v>29</v>
      </c>
      <c r="C75" t="s">
        <v>22</v>
      </c>
      <c r="D75" s="5">
        <v>4469.74</v>
      </c>
      <c r="E75" s="6">
        <v>4471.5200000000004</v>
      </c>
      <c r="F75" s="6">
        <v>4427.76</v>
      </c>
      <c r="G75" s="6">
        <v>4432.99</v>
      </c>
      <c r="H75" s="9">
        <v>5622210000</v>
      </c>
      <c r="I75" t="str">
        <f t="shared" si="2"/>
        <v>September</v>
      </c>
      <c r="J75" t="str">
        <f t="shared" si="3"/>
        <v>SP500</v>
      </c>
    </row>
    <row r="76" spans="1:10" x14ac:dyDescent="0.3">
      <c r="A76" s="1">
        <v>44455</v>
      </c>
      <c r="B76" t="s">
        <v>29</v>
      </c>
      <c r="C76" t="s">
        <v>22</v>
      </c>
      <c r="D76" s="5">
        <v>4477.09</v>
      </c>
      <c r="E76" s="6">
        <v>4485.87</v>
      </c>
      <c r="F76" s="6">
        <v>4443.8</v>
      </c>
      <c r="G76" s="6">
        <v>4473.75</v>
      </c>
      <c r="H76" s="9">
        <v>3321030000</v>
      </c>
      <c r="I76" t="str">
        <f t="shared" si="2"/>
        <v>September</v>
      </c>
      <c r="J76" t="str">
        <f t="shared" si="3"/>
        <v>SP500</v>
      </c>
    </row>
    <row r="77" spans="1:10" x14ac:dyDescent="0.3">
      <c r="A77" s="1">
        <v>44454</v>
      </c>
      <c r="B77" t="s">
        <v>29</v>
      </c>
      <c r="C77" t="s">
        <v>22</v>
      </c>
      <c r="D77" s="5">
        <v>4447.49</v>
      </c>
      <c r="E77" s="6">
        <v>4486.87</v>
      </c>
      <c r="F77" s="6">
        <v>4438.37</v>
      </c>
      <c r="G77" s="6">
        <v>4480.7</v>
      </c>
      <c r="H77" s="9">
        <v>3154760000</v>
      </c>
      <c r="I77" t="str">
        <f t="shared" si="2"/>
        <v>September</v>
      </c>
      <c r="J77" t="str">
        <f t="shared" si="3"/>
        <v>SP500</v>
      </c>
    </row>
    <row r="78" spans="1:10" x14ac:dyDescent="0.3">
      <c r="A78" s="1">
        <v>44453</v>
      </c>
      <c r="B78" t="s">
        <v>29</v>
      </c>
      <c r="C78" t="s">
        <v>22</v>
      </c>
      <c r="D78" s="5">
        <v>4479.33</v>
      </c>
      <c r="E78" s="6">
        <v>4485.68</v>
      </c>
      <c r="F78" s="6">
        <v>4435.46</v>
      </c>
      <c r="G78" s="6">
        <v>4443.05</v>
      </c>
      <c r="H78" s="9">
        <v>2568730000</v>
      </c>
      <c r="I78" t="str">
        <f t="shared" si="2"/>
        <v>September</v>
      </c>
      <c r="J78" t="str">
        <f t="shared" si="3"/>
        <v>SP500</v>
      </c>
    </row>
    <row r="79" spans="1:10" x14ac:dyDescent="0.3">
      <c r="A79" s="1">
        <v>44452</v>
      </c>
      <c r="B79" t="s">
        <v>29</v>
      </c>
      <c r="C79" t="s">
        <v>22</v>
      </c>
      <c r="D79" s="5">
        <v>4474.8100000000004</v>
      </c>
      <c r="E79" s="6">
        <v>4492.99</v>
      </c>
      <c r="F79" s="6">
        <v>4445.7</v>
      </c>
      <c r="G79" s="6">
        <v>4468.7299999999996</v>
      </c>
      <c r="H79" s="9">
        <v>3096390000</v>
      </c>
      <c r="I79" t="str">
        <f t="shared" si="2"/>
        <v>September</v>
      </c>
      <c r="J79" t="str">
        <f t="shared" si="3"/>
        <v>SP500</v>
      </c>
    </row>
    <row r="80" spans="1:10" x14ac:dyDescent="0.3">
      <c r="A80" s="1">
        <v>44449</v>
      </c>
      <c r="B80" t="s">
        <v>29</v>
      </c>
      <c r="C80" t="s">
        <v>22</v>
      </c>
      <c r="D80" s="5">
        <v>4506.92</v>
      </c>
      <c r="E80" s="6">
        <v>4520.47</v>
      </c>
      <c r="F80" s="6">
        <v>4457.66</v>
      </c>
      <c r="G80" s="6">
        <v>4458.58</v>
      </c>
      <c r="H80" s="9">
        <v>2851140000</v>
      </c>
      <c r="I80" t="str">
        <f t="shared" si="2"/>
        <v>September</v>
      </c>
      <c r="J80" t="str">
        <f t="shared" si="3"/>
        <v>SP500</v>
      </c>
    </row>
    <row r="81" spans="1:10" x14ac:dyDescent="0.3">
      <c r="A81" s="1">
        <v>44448</v>
      </c>
      <c r="B81" t="s">
        <v>29</v>
      </c>
      <c r="C81" t="s">
        <v>22</v>
      </c>
      <c r="D81" s="5">
        <v>4513.0200000000004</v>
      </c>
      <c r="E81" s="6">
        <v>4529.8999999999996</v>
      </c>
      <c r="F81" s="6">
        <v>4492.07</v>
      </c>
      <c r="G81" s="6">
        <v>4493.28</v>
      </c>
      <c r="H81" s="9">
        <v>3035300000</v>
      </c>
      <c r="I81" t="str">
        <f t="shared" si="2"/>
        <v>September</v>
      </c>
      <c r="J81" t="str">
        <f t="shared" si="3"/>
        <v>SP500</v>
      </c>
    </row>
    <row r="82" spans="1:10" x14ac:dyDescent="0.3">
      <c r="A82" s="1">
        <v>44447</v>
      </c>
      <c r="B82" t="s">
        <v>29</v>
      </c>
      <c r="C82" t="s">
        <v>22</v>
      </c>
      <c r="D82" s="5">
        <v>4518.09</v>
      </c>
      <c r="E82" s="6">
        <v>4521.79</v>
      </c>
      <c r="F82" s="6">
        <v>4493.95</v>
      </c>
      <c r="G82" s="6">
        <v>4514.07</v>
      </c>
      <c r="H82" s="9">
        <v>2808480000</v>
      </c>
      <c r="I82" t="str">
        <f t="shared" si="2"/>
        <v>September</v>
      </c>
      <c r="J82" t="str">
        <f t="shared" si="3"/>
        <v>SP500</v>
      </c>
    </row>
    <row r="83" spans="1:10" x14ac:dyDescent="0.3">
      <c r="A83" s="1">
        <v>44446</v>
      </c>
      <c r="B83" t="s">
        <v>29</v>
      </c>
      <c r="C83" t="s">
        <v>22</v>
      </c>
      <c r="D83" s="5">
        <v>4535.38</v>
      </c>
      <c r="E83" s="6">
        <v>4535.38</v>
      </c>
      <c r="F83" s="6">
        <v>4513</v>
      </c>
      <c r="G83" s="6">
        <v>4520.03</v>
      </c>
      <c r="H83" s="9">
        <v>3098870000</v>
      </c>
      <c r="I83" t="str">
        <f t="shared" si="2"/>
        <v>September</v>
      </c>
      <c r="J83" t="str">
        <f t="shared" si="3"/>
        <v>SP500</v>
      </c>
    </row>
    <row r="84" spans="1:10" x14ac:dyDescent="0.3">
      <c r="A84" s="1">
        <v>44442</v>
      </c>
      <c r="B84" t="s">
        <v>29</v>
      </c>
      <c r="C84" t="s">
        <v>22</v>
      </c>
      <c r="D84" s="5">
        <v>4532.42</v>
      </c>
      <c r="E84" s="6">
        <v>4541.45</v>
      </c>
      <c r="F84" s="6">
        <v>4521.3</v>
      </c>
      <c r="G84" s="6">
        <v>4535.43</v>
      </c>
      <c r="H84" s="9">
        <v>2609660000</v>
      </c>
      <c r="I84" t="str">
        <f t="shared" si="2"/>
        <v>September</v>
      </c>
      <c r="J84" t="str">
        <f t="shared" si="3"/>
        <v>SP500</v>
      </c>
    </row>
    <row r="85" spans="1:10" x14ac:dyDescent="0.3">
      <c r="A85" s="1">
        <v>44441</v>
      </c>
      <c r="B85" t="s">
        <v>29</v>
      </c>
      <c r="C85" t="s">
        <v>22</v>
      </c>
      <c r="D85" s="5">
        <v>4534.4799999999996</v>
      </c>
      <c r="E85" s="6">
        <v>4545.8500000000004</v>
      </c>
      <c r="F85" s="6">
        <v>4524.66</v>
      </c>
      <c r="G85" s="6">
        <v>4536.95</v>
      </c>
      <c r="H85" s="9">
        <v>2897010000</v>
      </c>
      <c r="I85" t="str">
        <f t="shared" si="2"/>
        <v>September</v>
      </c>
      <c r="J85" t="str">
        <f t="shared" si="3"/>
        <v>SP500</v>
      </c>
    </row>
    <row r="86" spans="1:10" x14ac:dyDescent="0.3">
      <c r="A86" s="1">
        <v>44440</v>
      </c>
      <c r="B86" t="s">
        <v>29</v>
      </c>
      <c r="C86" t="s">
        <v>22</v>
      </c>
      <c r="D86" s="5">
        <v>4528.8</v>
      </c>
      <c r="E86" s="6">
        <v>4537.1099999999997</v>
      </c>
      <c r="F86" s="6">
        <v>4522.0200000000004</v>
      </c>
      <c r="G86" s="6">
        <v>4524.09</v>
      </c>
      <c r="H86" s="9">
        <v>3101830000</v>
      </c>
      <c r="I86" t="str">
        <f t="shared" si="2"/>
        <v>September</v>
      </c>
      <c r="J86" t="str">
        <f t="shared" si="3"/>
        <v>SP500</v>
      </c>
    </row>
    <row r="87" spans="1:10" x14ac:dyDescent="0.3">
      <c r="A87" s="1">
        <v>44439</v>
      </c>
      <c r="B87" t="s">
        <v>28</v>
      </c>
      <c r="C87" t="s">
        <v>22</v>
      </c>
      <c r="D87" s="5">
        <v>4529.75</v>
      </c>
      <c r="E87" s="6">
        <v>4531.3900000000003</v>
      </c>
      <c r="F87" s="6">
        <v>4515.8</v>
      </c>
      <c r="G87" s="6">
        <v>4522.68</v>
      </c>
      <c r="H87" s="9">
        <v>3090380000</v>
      </c>
      <c r="I87" t="str">
        <f t="shared" si="2"/>
        <v>August</v>
      </c>
      <c r="J87" t="str">
        <f t="shared" si="3"/>
        <v>SP500</v>
      </c>
    </row>
    <row r="88" spans="1:10" x14ac:dyDescent="0.3">
      <c r="A88" s="1">
        <v>44438</v>
      </c>
      <c r="B88" t="s">
        <v>28</v>
      </c>
      <c r="C88" t="s">
        <v>22</v>
      </c>
      <c r="D88" s="5">
        <v>4513.76</v>
      </c>
      <c r="E88" s="6">
        <v>4537.3599999999997</v>
      </c>
      <c r="F88" s="6">
        <v>4513.76</v>
      </c>
      <c r="G88" s="6">
        <v>4528.79</v>
      </c>
      <c r="H88" s="9">
        <v>2557300000</v>
      </c>
      <c r="I88" t="str">
        <f t="shared" si="2"/>
        <v>August</v>
      </c>
      <c r="J88" t="str">
        <f t="shared" si="3"/>
        <v>SP500</v>
      </c>
    </row>
    <row r="89" spans="1:10" x14ac:dyDescent="0.3">
      <c r="A89" s="1">
        <v>44435</v>
      </c>
      <c r="B89" t="s">
        <v>28</v>
      </c>
      <c r="C89" t="s">
        <v>22</v>
      </c>
      <c r="D89" s="5">
        <v>4474.1000000000004</v>
      </c>
      <c r="E89" s="6">
        <v>4513.33</v>
      </c>
      <c r="F89" s="6">
        <v>4474.1000000000004</v>
      </c>
      <c r="G89" s="6">
        <v>4509.37</v>
      </c>
      <c r="H89" s="9">
        <v>2862360000</v>
      </c>
      <c r="I89" t="str">
        <f t="shared" si="2"/>
        <v>August</v>
      </c>
      <c r="J89" t="str">
        <f t="shared" si="3"/>
        <v>SP500</v>
      </c>
    </row>
    <row r="90" spans="1:10" x14ac:dyDescent="0.3">
      <c r="A90" s="1">
        <v>44434</v>
      </c>
      <c r="B90" t="s">
        <v>28</v>
      </c>
      <c r="C90" t="s">
        <v>22</v>
      </c>
      <c r="D90" s="5">
        <v>4493.75</v>
      </c>
      <c r="E90" s="6">
        <v>4495.8999999999996</v>
      </c>
      <c r="F90" s="6">
        <v>4468.99</v>
      </c>
      <c r="G90" s="6">
        <v>4470</v>
      </c>
      <c r="H90" s="9">
        <v>2704600000</v>
      </c>
      <c r="I90" t="str">
        <f t="shared" si="2"/>
        <v>August</v>
      </c>
      <c r="J90" t="str">
        <f t="shared" si="3"/>
        <v>SP500</v>
      </c>
    </row>
    <row r="91" spans="1:10" x14ac:dyDescent="0.3">
      <c r="A91" s="1">
        <v>44433</v>
      </c>
      <c r="B91" t="s">
        <v>28</v>
      </c>
      <c r="C91" t="s">
        <v>22</v>
      </c>
      <c r="D91" s="5">
        <v>4490.45</v>
      </c>
      <c r="E91" s="6">
        <v>4501.71</v>
      </c>
      <c r="F91" s="6">
        <v>4485.66</v>
      </c>
      <c r="G91" s="6">
        <v>4496.1899999999996</v>
      </c>
      <c r="H91" s="9">
        <v>2554680000</v>
      </c>
      <c r="I91" t="str">
        <f t="shared" si="2"/>
        <v>August</v>
      </c>
      <c r="J91" t="str">
        <f t="shared" si="3"/>
        <v>SP500</v>
      </c>
    </row>
    <row r="92" spans="1:10" x14ac:dyDescent="0.3">
      <c r="A92" s="1">
        <v>44432</v>
      </c>
      <c r="B92" t="s">
        <v>28</v>
      </c>
      <c r="C92" t="s">
        <v>22</v>
      </c>
      <c r="D92" s="5">
        <v>4484.3999999999996</v>
      </c>
      <c r="E92" s="6">
        <v>4492.8100000000004</v>
      </c>
      <c r="F92" s="6">
        <v>4482.28</v>
      </c>
      <c r="G92" s="6">
        <v>4486.2299999999996</v>
      </c>
      <c r="H92" s="9">
        <v>3037770000</v>
      </c>
      <c r="I92" t="str">
        <f t="shared" si="2"/>
        <v>August</v>
      </c>
      <c r="J92" t="str">
        <f t="shared" si="3"/>
        <v>SP500</v>
      </c>
    </row>
    <row r="93" spans="1:10" x14ac:dyDescent="0.3">
      <c r="A93" s="1">
        <v>44431</v>
      </c>
      <c r="B93" t="s">
        <v>28</v>
      </c>
      <c r="C93" t="s">
        <v>22</v>
      </c>
      <c r="D93" s="5">
        <v>4450.29</v>
      </c>
      <c r="E93" s="6">
        <v>4489.88</v>
      </c>
      <c r="F93" s="6">
        <v>4450.29</v>
      </c>
      <c r="G93" s="6">
        <v>4479.53</v>
      </c>
      <c r="H93" s="9">
        <v>2965520000</v>
      </c>
      <c r="I93" t="str">
        <f t="shared" si="2"/>
        <v>August</v>
      </c>
      <c r="J93" t="str">
        <f t="shared" si="3"/>
        <v>SP500</v>
      </c>
    </row>
    <row r="94" spans="1:10" x14ac:dyDescent="0.3">
      <c r="A94" s="1">
        <v>44428</v>
      </c>
      <c r="B94" t="s">
        <v>28</v>
      </c>
      <c r="C94" t="s">
        <v>22</v>
      </c>
      <c r="D94" s="5">
        <v>4410.5600000000004</v>
      </c>
      <c r="E94" s="6">
        <v>4444.3500000000004</v>
      </c>
      <c r="F94" s="6">
        <v>4406.8</v>
      </c>
      <c r="G94" s="6">
        <v>4441.67</v>
      </c>
      <c r="H94" s="9">
        <v>2867770000</v>
      </c>
      <c r="I94" t="str">
        <f t="shared" si="2"/>
        <v>August</v>
      </c>
      <c r="J94" t="str">
        <f t="shared" si="3"/>
        <v>SP500</v>
      </c>
    </row>
    <row r="95" spans="1:10" x14ac:dyDescent="0.3">
      <c r="A95" s="1">
        <v>44427</v>
      </c>
      <c r="B95" t="s">
        <v>28</v>
      </c>
      <c r="C95" t="s">
        <v>22</v>
      </c>
      <c r="D95" s="5">
        <v>4382.4399999999996</v>
      </c>
      <c r="E95" s="6">
        <v>4418.6099999999997</v>
      </c>
      <c r="F95" s="6">
        <v>4367.7299999999996</v>
      </c>
      <c r="G95" s="6">
        <v>4405.8</v>
      </c>
      <c r="H95" s="9">
        <v>3120840000</v>
      </c>
      <c r="I95" t="str">
        <f t="shared" si="2"/>
        <v>August</v>
      </c>
      <c r="J95" t="str">
        <f t="shared" si="3"/>
        <v>SP500</v>
      </c>
    </row>
    <row r="96" spans="1:10" x14ac:dyDescent="0.3">
      <c r="A96" s="1">
        <v>44426</v>
      </c>
      <c r="B96" t="s">
        <v>28</v>
      </c>
      <c r="C96" t="s">
        <v>22</v>
      </c>
      <c r="D96" s="5">
        <v>4440.9399999999996</v>
      </c>
      <c r="E96" s="6">
        <v>4454.32</v>
      </c>
      <c r="F96" s="6">
        <v>4397.59</v>
      </c>
      <c r="G96" s="6">
        <v>4400.2700000000004</v>
      </c>
      <c r="H96" s="9">
        <v>2965210000</v>
      </c>
      <c r="I96" t="str">
        <f t="shared" si="2"/>
        <v>August</v>
      </c>
      <c r="J96" t="str">
        <f t="shared" si="3"/>
        <v>SP500</v>
      </c>
    </row>
    <row r="97" spans="1:10" x14ac:dyDescent="0.3">
      <c r="A97" s="1">
        <v>44425</v>
      </c>
      <c r="B97" t="s">
        <v>28</v>
      </c>
      <c r="C97" t="s">
        <v>22</v>
      </c>
      <c r="D97" s="5">
        <v>4462.12</v>
      </c>
      <c r="E97" s="6">
        <v>4462.12</v>
      </c>
      <c r="F97" s="6">
        <v>4417.83</v>
      </c>
      <c r="G97" s="6">
        <v>4448.08</v>
      </c>
      <c r="H97" s="9">
        <v>2884000000</v>
      </c>
      <c r="I97" t="str">
        <f t="shared" si="2"/>
        <v>August</v>
      </c>
      <c r="J97" t="str">
        <f t="shared" si="3"/>
        <v>SP500</v>
      </c>
    </row>
    <row r="98" spans="1:10" x14ac:dyDescent="0.3">
      <c r="A98" s="1">
        <v>44424</v>
      </c>
      <c r="B98" t="s">
        <v>28</v>
      </c>
      <c r="C98" t="s">
        <v>22</v>
      </c>
      <c r="D98" s="5">
        <v>4461.6499999999996</v>
      </c>
      <c r="E98" s="6">
        <v>4480.26</v>
      </c>
      <c r="F98" s="6">
        <v>4437.66</v>
      </c>
      <c r="G98" s="6">
        <v>4479.71</v>
      </c>
      <c r="H98" s="9">
        <v>2707170000</v>
      </c>
      <c r="I98" t="str">
        <f t="shared" si="2"/>
        <v>August</v>
      </c>
      <c r="J98" t="str">
        <f t="shared" si="3"/>
        <v>SP500</v>
      </c>
    </row>
    <row r="99" spans="1:10" x14ac:dyDescent="0.3">
      <c r="A99" s="1">
        <v>44421</v>
      </c>
      <c r="B99" t="s">
        <v>28</v>
      </c>
      <c r="C99" t="s">
        <v>22</v>
      </c>
      <c r="D99" s="5">
        <v>4464.84</v>
      </c>
      <c r="E99" s="6">
        <v>4468.37</v>
      </c>
      <c r="F99" s="6">
        <v>4460.82</v>
      </c>
      <c r="G99" s="6">
        <v>4468</v>
      </c>
      <c r="H99" s="9">
        <v>2371630000</v>
      </c>
      <c r="I99" t="str">
        <f t="shared" si="2"/>
        <v>August</v>
      </c>
      <c r="J99" t="str">
        <f t="shared" si="3"/>
        <v>SP500</v>
      </c>
    </row>
    <row r="100" spans="1:10" x14ac:dyDescent="0.3">
      <c r="A100" s="1">
        <v>44420</v>
      </c>
      <c r="B100" t="s">
        <v>28</v>
      </c>
      <c r="C100" t="s">
        <v>22</v>
      </c>
      <c r="D100" s="5">
        <v>4446.08</v>
      </c>
      <c r="E100" s="6">
        <v>4461.7700000000004</v>
      </c>
      <c r="F100" s="6">
        <v>4435.96</v>
      </c>
      <c r="G100" s="6">
        <v>4460.83</v>
      </c>
      <c r="H100" s="9">
        <v>2543860000</v>
      </c>
      <c r="I100" t="str">
        <f t="shared" si="2"/>
        <v>August</v>
      </c>
      <c r="J100" t="str">
        <f t="shared" si="3"/>
        <v>SP500</v>
      </c>
    </row>
    <row r="101" spans="1:10" x14ac:dyDescent="0.3">
      <c r="A101" s="1">
        <v>44419</v>
      </c>
      <c r="B101" t="s">
        <v>28</v>
      </c>
      <c r="C101" t="s">
        <v>22</v>
      </c>
      <c r="D101" s="5">
        <v>4442.18</v>
      </c>
      <c r="E101" s="6">
        <v>4449.4399999999996</v>
      </c>
      <c r="F101" s="6">
        <v>4436.42</v>
      </c>
      <c r="G101" s="6">
        <v>4442.41</v>
      </c>
      <c r="H101" s="9">
        <v>2803060000</v>
      </c>
      <c r="I101" t="str">
        <f t="shared" si="2"/>
        <v>August</v>
      </c>
      <c r="J101" t="str">
        <f t="shared" si="3"/>
        <v>SP500</v>
      </c>
    </row>
    <row r="102" spans="1:10" x14ac:dyDescent="0.3">
      <c r="A102" s="1">
        <v>44418</v>
      </c>
      <c r="B102" t="s">
        <v>28</v>
      </c>
      <c r="C102" t="s">
        <v>22</v>
      </c>
      <c r="D102" s="5">
        <v>4435.79</v>
      </c>
      <c r="E102" s="6">
        <v>4445.21</v>
      </c>
      <c r="F102" s="6">
        <v>4430.03</v>
      </c>
      <c r="G102" s="6">
        <v>4436.75</v>
      </c>
      <c r="H102" s="9">
        <v>3219840000</v>
      </c>
      <c r="I102" t="str">
        <f t="shared" si="2"/>
        <v>August</v>
      </c>
      <c r="J102" t="str">
        <f t="shared" si="3"/>
        <v>SP500</v>
      </c>
    </row>
    <row r="103" spans="1:10" x14ac:dyDescent="0.3">
      <c r="A103" s="1">
        <v>44417</v>
      </c>
      <c r="B103" t="s">
        <v>28</v>
      </c>
      <c r="C103" t="s">
        <v>22</v>
      </c>
      <c r="D103" s="5">
        <v>4437.7700000000004</v>
      </c>
      <c r="E103" s="6">
        <v>4439.3900000000003</v>
      </c>
      <c r="F103" s="6">
        <v>4424.74</v>
      </c>
      <c r="G103" s="6">
        <v>4432.3500000000004</v>
      </c>
      <c r="H103" s="9">
        <v>2779880000</v>
      </c>
      <c r="I103" t="str">
        <f t="shared" si="2"/>
        <v>August</v>
      </c>
      <c r="J103" t="str">
        <f t="shared" si="3"/>
        <v>SP500</v>
      </c>
    </row>
    <row r="104" spans="1:10" x14ac:dyDescent="0.3">
      <c r="A104" s="1">
        <v>44414</v>
      </c>
      <c r="B104" t="s">
        <v>28</v>
      </c>
      <c r="C104" t="s">
        <v>22</v>
      </c>
      <c r="D104" s="5">
        <v>4429.07</v>
      </c>
      <c r="E104" s="6">
        <v>4440.82</v>
      </c>
      <c r="F104" s="6">
        <v>4429.07</v>
      </c>
      <c r="G104" s="6">
        <v>4436.5200000000004</v>
      </c>
      <c r="H104" s="9">
        <v>2839970000</v>
      </c>
      <c r="I104" t="str">
        <f t="shared" si="2"/>
        <v>August</v>
      </c>
      <c r="J104" t="str">
        <f t="shared" si="3"/>
        <v>SP500</v>
      </c>
    </row>
    <row r="105" spans="1:10" x14ac:dyDescent="0.3">
      <c r="A105" s="1">
        <v>44413</v>
      </c>
      <c r="B105" t="s">
        <v>28</v>
      </c>
      <c r="C105" t="s">
        <v>22</v>
      </c>
      <c r="D105" s="5">
        <v>4408.8599999999997</v>
      </c>
      <c r="E105" s="6">
        <v>4429.76</v>
      </c>
      <c r="F105" s="6">
        <v>4408.8599999999997</v>
      </c>
      <c r="G105" s="6">
        <v>4429.1000000000004</v>
      </c>
      <c r="H105" s="9">
        <v>2734220000</v>
      </c>
      <c r="I105" t="str">
        <f t="shared" si="2"/>
        <v>August</v>
      </c>
      <c r="J105" t="str">
        <f t="shared" si="3"/>
        <v>SP500</v>
      </c>
    </row>
    <row r="106" spans="1:10" x14ac:dyDescent="0.3">
      <c r="A106" s="1">
        <v>44412</v>
      </c>
      <c r="B106" t="s">
        <v>28</v>
      </c>
      <c r="C106" t="s">
        <v>22</v>
      </c>
      <c r="D106" s="5">
        <v>4415.95</v>
      </c>
      <c r="E106" s="6">
        <v>4416.17</v>
      </c>
      <c r="F106" s="6">
        <v>4400.2299999999996</v>
      </c>
      <c r="G106" s="6">
        <v>4402.66</v>
      </c>
      <c r="H106" s="9">
        <v>3382620000</v>
      </c>
      <c r="I106" t="str">
        <f t="shared" si="2"/>
        <v>August</v>
      </c>
      <c r="J106" t="str">
        <f t="shared" si="3"/>
        <v>SP500</v>
      </c>
    </row>
    <row r="107" spans="1:10" x14ac:dyDescent="0.3">
      <c r="A107" s="1">
        <v>44411</v>
      </c>
      <c r="B107" t="s">
        <v>28</v>
      </c>
      <c r="C107" t="s">
        <v>22</v>
      </c>
      <c r="D107" s="5">
        <v>4392.74</v>
      </c>
      <c r="E107" s="6">
        <v>4423.79</v>
      </c>
      <c r="F107" s="6">
        <v>4373</v>
      </c>
      <c r="G107" s="6">
        <v>4423.1499999999996</v>
      </c>
      <c r="H107" s="9">
        <v>3305340000</v>
      </c>
      <c r="I107" t="str">
        <f t="shared" si="2"/>
        <v>August</v>
      </c>
      <c r="J107" t="str">
        <f t="shared" si="3"/>
        <v>SP500</v>
      </c>
    </row>
    <row r="108" spans="1:10" x14ac:dyDescent="0.3">
      <c r="A108" s="1">
        <v>44410</v>
      </c>
      <c r="B108" t="s">
        <v>28</v>
      </c>
      <c r="C108" t="s">
        <v>22</v>
      </c>
      <c r="D108" s="5">
        <v>4406.8599999999997</v>
      </c>
      <c r="E108" s="6">
        <v>4422.18</v>
      </c>
      <c r="F108" s="6">
        <v>4384.8100000000004</v>
      </c>
      <c r="G108" s="6">
        <v>4387.16</v>
      </c>
      <c r="H108" s="9">
        <v>2919940000</v>
      </c>
      <c r="I108" t="str">
        <f t="shared" si="2"/>
        <v>August</v>
      </c>
      <c r="J108" t="str">
        <f t="shared" si="3"/>
        <v>SP500</v>
      </c>
    </row>
    <row r="109" spans="1:10" x14ac:dyDescent="0.3">
      <c r="A109" s="1">
        <v>44407</v>
      </c>
      <c r="B109" t="s">
        <v>27</v>
      </c>
      <c r="C109" t="s">
        <v>22</v>
      </c>
      <c r="D109" s="5">
        <v>4395.12</v>
      </c>
      <c r="E109" s="6">
        <v>4412.25</v>
      </c>
      <c r="F109" s="6">
        <v>4389.6499999999996</v>
      </c>
      <c r="G109" s="6">
        <v>4395.26</v>
      </c>
      <c r="H109" s="9">
        <v>2861600000</v>
      </c>
      <c r="I109" t="str">
        <f t="shared" si="2"/>
        <v>July</v>
      </c>
      <c r="J109" t="str">
        <f t="shared" si="3"/>
        <v>SP500</v>
      </c>
    </row>
    <row r="110" spans="1:10" x14ac:dyDescent="0.3">
      <c r="A110" s="1">
        <v>44406</v>
      </c>
      <c r="B110" t="s">
        <v>27</v>
      </c>
      <c r="C110" t="s">
        <v>22</v>
      </c>
      <c r="D110" s="5">
        <v>4403.59</v>
      </c>
      <c r="E110" s="6">
        <v>4429.97</v>
      </c>
      <c r="F110" s="6">
        <v>4403.59</v>
      </c>
      <c r="G110" s="6">
        <v>4419.1499999999996</v>
      </c>
      <c r="H110" s="9">
        <v>2815510000</v>
      </c>
      <c r="I110" t="str">
        <f t="shared" si="2"/>
        <v>July</v>
      </c>
      <c r="J110" t="str">
        <f t="shared" si="3"/>
        <v>SP500</v>
      </c>
    </row>
    <row r="111" spans="1:10" x14ac:dyDescent="0.3">
      <c r="A111" s="1">
        <v>44405</v>
      </c>
      <c r="B111" t="s">
        <v>27</v>
      </c>
      <c r="C111" t="s">
        <v>22</v>
      </c>
      <c r="D111" s="5">
        <v>4402.95</v>
      </c>
      <c r="E111" s="6">
        <v>4415.47</v>
      </c>
      <c r="F111" s="6">
        <v>4387.01</v>
      </c>
      <c r="G111" s="6">
        <v>4400.6400000000003</v>
      </c>
      <c r="H111" s="9">
        <v>3215130000</v>
      </c>
      <c r="I111" t="str">
        <f t="shared" si="2"/>
        <v>July</v>
      </c>
      <c r="J111" t="str">
        <f t="shared" si="3"/>
        <v>SP500</v>
      </c>
    </row>
    <row r="112" spans="1:10" x14ac:dyDescent="0.3">
      <c r="A112" s="1">
        <v>44404</v>
      </c>
      <c r="B112" t="s">
        <v>27</v>
      </c>
      <c r="C112" t="s">
        <v>22</v>
      </c>
      <c r="D112" s="5">
        <v>4416.38</v>
      </c>
      <c r="E112" s="6">
        <v>4416.38</v>
      </c>
      <c r="F112" s="6">
        <v>4372.51</v>
      </c>
      <c r="G112" s="6">
        <v>4401.46</v>
      </c>
      <c r="H112" s="9">
        <v>3381080000</v>
      </c>
      <c r="I112" t="str">
        <f t="shared" si="2"/>
        <v>July</v>
      </c>
      <c r="J112" t="str">
        <f t="shared" si="3"/>
        <v>SP500</v>
      </c>
    </row>
    <row r="113" spans="1:10" x14ac:dyDescent="0.3">
      <c r="A113" s="1">
        <v>44403</v>
      </c>
      <c r="B113" t="s">
        <v>27</v>
      </c>
      <c r="C113" t="s">
        <v>22</v>
      </c>
      <c r="D113" s="5">
        <v>4409.58</v>
      </c>
      <c r="E113" s="6">
        <v>4422.7299999999996</v>
      </c>
      <c r="F113" s="6">
        <v>4405.45</v>
      </c>
      <c r="G113" s="6">
        <v>4422.3</v>
      </c>
      <c r="H113" s="9">
        <v>2679110000</v>
      </c>
      <c r="I113" t="str">
        <f t="shared" si="2"/>
        <v>July</v>
      </c>
      <c r="J113" t="str">
        <f t="shared" si="3"/>
        <v>SP500</v>
      </c>
    </row>
    <row r="114" spans="1:10" x14ac:dyDescent="0.3">
      <c r="A114" s="1">
        <v>44400</v>
      </c>
      <c r="B114" t="s">
        <v>27</v>
      </c>
      <c r="C114" t="s">
        <v>22</v>
      </c>
      <c r="D114" s="5">
        <v>4381.2</v>
      </c>
      <c r="E114" s="6">
        <v>4415.18</v>
      </c>
      <c r="F114" s="6">
        <v>4381.2</v>
      </c>
      <c r="G114" s="6">
        <v>4411.79</v>
      </c>
      <c r="H114" s="9">
        <v>3490730000</v>
      </c>
      <c r="I114" t="str">
        <f t="shared" si="2"/>
        <v>July</v>
      </c>
      <c r="J114" t="str">
        <f t="shared" si="3"/>
        <v>SP500</v>
      </c>
    </row>
    <row r="115" spans="1:10" x14ac:dyDescent="0.3">
      <c r="A115" s="1">
        <v>44399</v>
      </c>
      <c r="B115" t="s">
        <v>27</v>
      </c>
      <c r="C115" t="s">
        <v>22</v>
      </c>
      <c r="D115" s="5">
        <v>4361.2700000000004</v>
      </c>
      <c r="E115" s="6">
        <v>4369.87</v>
      </c>
      <c r="F115" s="6">
        <v>4350.0600000000004</v>
      </c>
      <c r="G115" s="6">
        <v>4367.4799999999996</v>
      </c>
      <c r="H115" s="9">
        <v>2907910000</v>
      </c>
      <c r="I115" t="str">
        <f t="shared" si="2"/>
        <v>July</v>
      </c>
      <c r="J115" t="str">
        <f t="shared" si="3"/>
        <v>SP500</v>
      </c>
    </row>
    <row r="116" spans="1:10" x14ac:dyDescent="0.3">
      <c r="A116" s="1">
        <v>44398</v>
      </c>
      <c r="B116" t="s">
        <v>27</v>
      </c>
      <c r="C116" t="s">
        <v>22</v>
      </c>
      <c r="D116" s="5">
        <v>4331.13</v>
      </c>
      <c r="E116" s="6">
        <v>4359.7</v>
      </c>
      <c r="F116" s="6">
        <v>4331.13</v>
      </c>
      <c r="G116" s="6">
        <v>4358.6899999999996</v>
      </c>
      <c r="H116" s="9">
        <v>3078550000</v>
      </c>
      <c r="I116" t="str">
        <f t="shared" si="2"/>
        <v>July</v>
      </c>
      <c r="J116" t="str">
        <f t="shared" si="3"/>
        <v>SP500</v>
      </c>
    </row>
    <row r="117" spans="1:10" x14ac:dyDescent="0.3">
      <c r="A117" s="1">
        <v>44397</v>
      </c>
      <c r="B117" t="s">
        <v>27</v>
      </c>
      <c r="C117" t="s">
        <v>22</v>
      </c>
      <c r="D117" s="5">
        <v>4265.1099999999997</v>
      </c>
      <c r="E117" s="6">
        <v>4336.84</v>
      </c>
      <c r="F117" s="6">
        <v>4262.05</v>
      </c>
      <c r="G117" s="6">
        <v>4323.0600000000004</v>
      </c>
      <c r="H117" s="9">
        <v>3634190000</v>
      </c>
      <c r="I117" t="str">
        <f t="shared" si="2"/>
        <v>July</v>
      </c>
      <c r="J117" t="str">
        <f t="shared" si="3"/>
        <v>SP500</v>
      </c>
    </row>
    <row r="118" spans="1:10" x14ac:dyDescent="0.3">
      <c r="A118" s="1">
        <v>44396</v>
      </c>
      <c r="B118" t="s">
        <v>27</v>
      </c>
      <c r="C118" t="s">
        <v>22</v>
      </c>
      <c r="D118" s="5">
        <v>4296.3999999999996</v>
      </c>
      <c r="E118" s="6">
        <v>4296.3999999999996</v>
      </c>
      <c r="F118" s="6">
        <v>4233.13</v>
      </c>
      <c r="G118" s="6">
        <v>4258.49</v>
      </c>
      <c r="H118" s="9">
        <v>4155790000</v>
      </c>
      <c r="I118" t="str">
        <f t="shared" si="2"/>
        <v>July</v>
      </c>
      <c r="J118" t="str">
        <f t="shared" si="3"/>
        <v>SP500</v>
      </c>
    </row>
    <row r="119" spans="1:10" x14ac:dyDescent="0.3">
      <c r="A119" s="1">
        <v>44393</v>
      </c>
      <c r="B119" t="s">
        <v>27</v>
      </c>
      <c r="C119" t="s">
        <v>22</v>
      </c>
      <c r="D119" s="5">
        <v>4367.43</v>
      </c>
      <c r="E119" s="6">
        <v>4375.09</v>
      </c>
      <c r="F119" s="6">
        <v>4322.53</v>
      </c>
      <c r="G119" s="6">
        <v>4327.16</v>
      </c>
      <c r="H119" s="9">
        <v>3165160000</v>
      </c>
      <c r="I119" t="str">
        <f t="shared" si="2"/>
        <v>July</v>
      </c>
      <c r="J119" t="str">
        <f t="shared" si="3"/>
        <v>SP500</v>
      </c>
    </row>
    <row r="120" spans="1:10" x14ac:dyDescent="0.3">
      <c r="A120" s="1">
        <v>44392</v>
      </c>
      <c r="B120" t="s">
        <v>27</v>
      </c>
      <c r="C120" t="s">
        <v>22</v>
      </c>
      <c r="D120" s="5">
        <v>4369.0200000000004</v>
      </c>
      <c r="E120" s="6">
        <v>4369.0200000000004</v>
      </c>
      <c r="F120" s="6">
        <v>4340.7</v>
      </c>
      <c r="G120" s="6">
        <v>4360.03</v>
      </c>
      <c r="H120" s="9">
        <v>3226930000</v>
      </c>
      <c r="I120" t="str">
        <f t="shared" si="2"/>
        <v>July</v>
      </c>
      <c r="J120" t="str">
        <f t="shared" si="3"/>
        <v>SP500</v>
      </c>
    </row>
    <row r="121" spans="1:10" x14ac:dyDescent="0.3">
      <c r="A121" s="1">
        <v>44391</v>
      </c>
      <c r="B121" t="s">
        <v>27</v>
      </c>
      <c r="C121" t="s">
        <v>22</v>
      </c>
      <c r="D121" s="5">
        <v>4380.1099999999997</v>
      </c>
      <c r="E121" s="6">
        <v>4393.68</v>
      </c>
      <c r="F121" s="6">
        <v>4362.3599999999997</v>
      </c>
      <c r="G121" s="6">
        <v>4374.3</v>
      </c>
      <c r="H121" s="9">
        <v>3213870000</v>
      </c>
      <c r="I121" t="str">
        <f t="shared" si="2"/>
        <v>July</v>
      </c>
      <c r="J121" t="str">
        <f t="shared" si="3"/>
        <v>SP500</v>
      </c>
    </row>
    <row r="122" spans="1:10" x14ac:dyDescent="0.3">
      <c r="A122" s="1">
        <v>44390</v>
      </c>
      <c r="B122" t="s">
        <v>27</v>
      </c>
      <c r="C122" t="s">
        <v>22</v>
      </c>
      <c r="D122" s="5">
        <v>4381.07</v>
      </c>
      <c r="E122" s="6">
        <v>4392.37</v>
      </c>
      <c r="F122" s="6">
        <v>4366.92</v>
      </c>
      <c r="G122" s="6">
        <v>4369.21</v>
      </c>
      <c r="H122" s="9">
        <v>3166900000</v>
      </c>
      <c r="I122" t="str">
        <f t="shared" si="2"/>
        <v>July</v>
      </c>
      <c r="J122" t="str">
        <f t="shared" si="3"/>
        <v>SP500</v>
      </c>
    </row>
    <row r="123" spans="1:10" x14ac:dyDescent="0.3">
      <c r="A123" s="1">
        <v>44389</v>
      </c>
      <c r="B123" t="s">
        <v>27</v>
      </c>
      <c r="C123" t="s">
        <v>22</v>
      </c>
      <c r="D123" s="5">
        <v>4372.41</v>
      </c>
      <c r="E123" s="6">
        <v>4386.68</v>
      </c>
      <c r="F123" s="6">
        <v>4364.03</v>
      </c>
      <c r="G123" s="6">
        <v>4384.63</v>
      </c>
      <c r="H123" s="9">
        <v>2983980000</v>
      </c>
      <c r="I123" t="str">
        <f t="shared" si="2"/>
        <v>July</v>
      </c>
      <c r="J123" t="str">
        <f t="shared" si="3"/>
        <v>SP500</v>
      </c>
    </row>
    <row r="124" spans="1:10" x14ac:dyDescent="0.3">
      <c r="A124" s="1">
        <v>44386</v>
      </c>
      <c r="B124" t="s">
        <v>27</v>
      </c>
      <c r="C124" t="s">
        <v>22</v>
      </c>
      <c r="D124" s="5">
        <v>4329.38</v>
      </c>
      <c r="E124" s="6">
        <v>4371.6000000000004</v>
      </c>
      <c r="F124" s="6">
        <v>4329.38</v>
      </c>
      <c r="G124" s="6">
        <v>4369.55</v>
      </c>
      <c r="H124" s="9">
        <v>2738280000</v>
      </c>
      <c r="I124" t="str">
        <f t="shared" si="2"/>
        <v>July</v>
      </c>
      <c r="J124" t="str">
        <f t="shared" si="3"/>
        <v>SP500</v>
      </c>
    </row>
    <row r="125" spans="1:10" x14ac:dyDescent="0.3">
      <c r="A125" s="1">
        <v>44385</v>
      </c>
      <c r="B125" t="s">
        <v>27</v>
      </c>
      <c r="C125" t="s">
        <v>22</v>
      </c>
      <c r="D125" s="5">
        <v>4321.07</v>
      </c>
      <c r="E125" s="6">
        <v>4330.88</v>
      </c>
      <c r="F125" s="6">
        <v>4289.37</v>
      </c>
      <c r="G125" s="6">
        <v>4320.82</v>
      </c>
      <c r="H125" s="9">
        <v>3393780000</v>
      </c>
      <c r="I125" t="str">
        <f t="shared" si="2"/>
        <v>July</v>
      </c>
      <c r="J125" t="str">
        <f t="shared" si="3"/>
        <v>SP500</v>
      </c>
    </row>
    <row r="126" spans="1:10" x14ac:dyDescent="0.3">
      <c r="A126" s="1">
        <v>44384</v>
      </c>
      <c r="B126" t="s">
        <v>27</v>
      </c>
      <c r="C126" t="s">
        <v>22</v>
      </c>
      <c r="D126" s="5">
        <v>4351.01</v>
      </c>
      <c r="E126" s="6">
        <v>4361.88</v>
      </c>
      <c r="F126" s="6">
        <v>4329.79</v>
      </c>
      <c r="G126" s="6">
        <v>4358.13</v>
      </c>
      <c r="H126" s="9">
        <v>3243900000</v>
      </c>
      <c r="I126" t="str">
        <f t="shared" si="2"/>
        <v>July</v>
      </c>
      <c r="J126" t="str">
        <f t="shared" si="3"/>
        <v>SP500</v>
      </c>
    </row>
    <row r="127" spans="1:10" x14ac:dyDescent="0.3">
      <c r="A127" s="1">
        <v>44383</v>
      </c>
      <c r="B127" t="s">
        <v>27</v>
      </c>
      <c r="C127" t="s">
        <v>22</v>
      </c>
      <c r="D127" s="5">
        <v>4356.46</v>
      </c>
      <c r="E127" s="6">
        <v>4356.46</v>
      </c>
      <c r="F127" s="6">
        <v>4314.37</v>
      </c>
      <c r="G127" s="6">
        <v>4343.54</v>
      </c>
      <c r="H127" s="9">
        <v>3437900000</v>
      </c>
      <c r="I127" t="str">
        <f t="shared" si="2"/>
        <v>July</v>
      </c>
      <c r="J127" t="str">
        <f t="shared" si="3"/>
        <v>SP500</v>
      </c>
    </row>
    <row r="128" spans="1:10" x14ac:dyDescent="0.3">
      <c r="A128" s="1">
        <v>44379</v>
      </c>
      <c r="B128" t="s">
        <v>27</v>
      </c>
      <c r="C128" t="s">
        <v>22</v>
      </c>
      <c r="D128" s="5">
        <v>4326.6000000000004</v>
      </c>
      <c r="E128" s="6">
        <v>4355.43</v>
      </c>
      <c r="F128" s="6">
        <v>4326.6000000000004</v>
      </c>
      <c r="G128" s="6">
        <v>4352.34</v>
      </c>
      <c r="H128" s="9">
        <v>2628550000</v>
      </c>
      <c r="I128" t="str">
        <f t="shared" si="2"/>
        <v>July</v>
      </c>
      <c r="J128" t="str">
        <f t="shared" si="3"/>
        <v>SP500</v>
      </c>
    </row>
    <row r="129" spans="1:10" x14ac:dyDescent="0.3">
      <c r="A129" s="1">
        <v>44378</v>
      </c>
      <c r="B129" t="s">
        <v>27</v>
      </c>
      <c r="C129" t="s">
        <v>22</v>
      </c>
      <c r="D129" s="5">
        <v>4300.7299999999996</v>
      </c>
      <c r="E129" s="6">
        <v>4320.66</v>
      </c>
      <c r="F129" s="6">
        <v>4300.7299999999996</v>
      </c>
      <c r="G129" s="6">
        <v>4319.9399999999996</v>
      </c>
      <c r="H129" s="9">
        <v>3077580000</v>
      </c>
      <c r="I129" t="str">
        <f t="shared" si="2"/>
        <v>July</v>
      </c>
      <c r="J129" t="str">
        <f t="shared" si="3"/>
        <v>SP500</v>
      </c>
    </row>
    <row r="130" spans="1:10" x14ac:dyDescent="0.3">
      <c r="A130" s="1">
        <v>44377</v>
      </c>
      <c r="B130" t="s">
        <v>26</v>
      </c>
      <c r="C130" t="s">
        <v>22</v>
      </c>
      <c r="D130" s="5">
        <v>4290.6499999999996</v>
      </c>
      <c r="E130" s="6">
        <v>4302.43</v>
      </c>
      <c r="F130" s="6">
        <v>4287.96</v>
      </c>
      <c r="G130" s="6">
        <v>4297.5</v>
      </c>
      <c r="H130" s="9">
        <v>3687880000</v>
      </c>
      <c r="I130" t="str">
        <f t="shared" ref="I130:I193" si="4">TRIM(B130)</f>
        <v>June</v>
      </c>
      <c r="J130" t="str">
        <f t="shared" ref="J130:J193" si="5">TRIM(C130)</f>
        <v>SP500</v>
      </c>
    </row>
    <row r="131" spans="1:10" x14ac:dyDescent="0.3">
      <c r="A131" s="1">
        <v>44376</v>
      </c>
      <c r="B131" t="s">
        <v>26</v>
      </c>
      <c r="C131" t="s">
        <v>22</v>
      </c>
      <c r="D131" s="5">
        <v>4293.21</v>
      </c>
      <c r="E131" s="6">
        <v>4300.5200000000004</v>
      </c>
      <c r="F131" s="6">
        <v>4287.04</v>
      </c>
      <c r="G131" s="6">
        <v>4291.8</v>
      </c>
      <c r="H131" s="9">
        <v>3049560000</v>
      </c>
      <c r="I131" t="str">
        <f t="shared" si="4"/>
        <v>June</v>
      </c>
      <c r="J131" t="str">
        <f t="shared" si="5"/>
        <v>SP500</v>
      </c>
    </row>
    <row r="132" spans="1:10" x14ac:dyDescent="0.3">
      <c r="A132" s="1">
        <v>44375</v>
      </c>
      <c r="B132" t="s">
        <v>26</v>
      </c>
      <c r="C132" t="s">
        <v>22</v>
      </c>
      <c r="D132" s="5">
        <v>4284.8999999999996</v>
      </c>
      <c r="E132" s="6">
        <v>4292.1400000000003</v>
      </c>
      <c r="F132" s="6">
        <v>4274.67</v>
      </c>
      <c r="G132" s="6">
        <v>4290.6099999999997</v>
      </c>
      <c r="H132" s="9">
        <v>3415610000</v>
      </c>
      <c r="I132" t="str">
        <f t="shared" si="4"/>
        <v>June</v>
      </c>
      <c r="J132" t="str">
        <f t="shared" si="5"/>
        <v>SP500</v>
      </c>
    </row>
    <row r="133" spans="1:10" x14ac:dyDescent="0.3">
      <c r="A133" s="1">
        <v>44372</v>
      </c>
      <c r="B133" t="s">
        <v>26</v>
      </c>
      <c r="C133" t="s">
        <v>22</v>
      </c>
      <c r="D133" s="5">
        <v>4274.45</v>
      </c>
      <c r="E133" s="6">
        <v>4286.12</v>
      </c>
      <c r="F133" s="6">
        <v>4271.16</v>
      </c>
      <c r="G133" s="6">
        <v>4280.7</v>
      </c>
      <c r="H133" s="9">
        <v>6248390000</v>
      </c>
      <c r="I133" t="str">
        <f t="shared" si="4"/>
        <v>June</v>
      </c>
      <c r="J133" t="str">
        <f t="shared" si="5"/>
        <v>SP500</v>
      </c>
    </row>
    <row r="134" spans="1:10" x14ac:dyDescent="0.3">
      <c r="A134" s="1">
        <v>44371</v>
      </c>
      <c r="B134" t="s">
        <v>26</v>
      </c>
      <c r="C134" t="s">
        <v>22</v>
      </c>
      <c r="D134" s="5">
        <v>4256.97</v>
      </c>
      <c r="E134" s="6">
        <v>4271.28</v>
      </c>
      <c r="F134" s="6">
        <v>4256.97</v>
      </c>
      <c r="G134" s="6">
        <v>4266.49</v>
      </c>
      <c r="H134" s="9">
        <v>3141680000</v>
      </c>
      <c r="I134" t="str">
        <f t="shared" si="4"/>
        <v>June</v>
      </c>
      <c r="J134" t="str">
        <f t="shared" si="5"/>
        <v>SP500</v>
      </c>
    </row>
    <row r="135" spans="1:10" x14ac:dyDescent="0.3">
      <c r="A135" s="1">
        <v>44370</v>
      </c>
      <c r="B135" t="s">
        <v>26</v>
      </c>
      <c r="C135" t="s">
        <v>22</v>
      </c>
      <c r="D135" s="5">
        <v>4249.2700000000004</v>
      </c>
      <c r="E135" s="6">
        <v>4256.6000000000004</v>
      </c>
      <c r="F135" s="6">
        <v>4241.43</v>
      </c>
      <c r="G135" s="6">
        <v>4241.84</v>
      </c>
      <c r="H135" s="9">
        <v>3172440000</v>
      </c>
      <c r="I135" t="str">
        <f t="shared" si="4"/>
        <v>June</v>
      </c>
      <c r="J135" t="str">
        <f t="shared" si="5"/>
        <v>SP500</v>
      </c>
    </row>
    <row r="136" spans="1:10" x14ac:dyDescent="0.3">
      <c r="A136" s="1">
        <v>44369</v>
      </c>
      <c r="B136" t="s">
        <v>26</v>
      </c>
      <c r="C136" t="s">
        <v>22</v>
      </c>
      <c r="D136" s="5">
        <v>4224.6099999999997</v>
      </c>
      <c r="E136" s="6">
        <v>4255.84</v>
      </c>
      <c r="F136" s="6">
        <v>4217.2700000000004</v>
      </c>
      <c r="G136" s="6">
        <v>4246.4399999999996</v>
      </c>
      <c r="H136" s="9">
        <v>3208760000</v>
      </c>
      <c r="I136" t="str">
        <f t="shared" si="4"/>
        <v>June</v>
      </c>
      <c r="J136" t="str">
        <f t="shared" si="5"/>
        <v>SP500</v>
      </c>
    </row>
    <row r="137" spans="1:10" x14ac:dyDescent="0.3">
      <c r="A137" s="1">
        <v>44368</v>
      </c>
      <c r="B137" t="s">
        <v>26</v>
      </c>
      <c r="C137" t="s">
        <v>22</v>
      </c>
      <c r="D137" s="5">
        <v>4173.3999999999996</v>
      </c>
      <c r="E137" s="6">
        <v>4226.24</v>
      </c>
      <c r="F137" s="6">
        <v>4173.3999999999996</v>
      </c>
      <c r="G137" s="6">
        <v>4224.79</v>
      </c>
      <c r="H137" s="9">
        <v>3391740000</v>
      </c>
      <c r="I137" t="str">
        <f t="shared" si="4"/>
        <v>June</v>
      </c>
      <c r="J137" t="str">
        <f t="shared" si="5"/>
        <v>SP500</v>
      </c>
    </row>
    <row r="138" spans="1:10" x14ac:dyDescent="0.3">
      <c r="A138" s="1">
        <v>44365</v>
      </c>
      <c r="B138" t="s">
        <v>26</v>
      </c>
      <c r="C138" t="s">
        <v>22</v>
      </c>
      <c r="D138" s="5">
        <v>4204.78</v>
      </c>
      <c r="E138" s="6">
        <v>4204.78</v>
      </c>
      <c r="F138" s="6">
        <v>4164.3999999999996</v>
      </c>
      <c r="G138" s="6">
        <v>4166.45</v>
      </c>
      <c r="H138" s="9">
        <v>6084980000</v>
      </c>
      <c r="I138" t="str">
        <f t="shared" si="4"/>
        <v>June</v>
      </c>
      <c r="J138" t="str">
        <f t="shared" si="5"/>
        <v>SP500</v>
      </c>
    </row>
    <row r="139" spans="1:10" x14ac:dyDescent="0.3">
      <c r="A139" s="1">
        <v>44364</v>
      </c>
      <c r="B139" t="s">
        <v>26</v>
      </c>
      <c r="C139" t="s">
        <v>22</v>
      </c>
      <c r="D139" s="5">
        <v>4220.37</v>
      </c>
      <c r="E139" s="6">
        <v>4232.29</v>
      </c>
      <c r="F139" s="6">
        <v>4196.05</v>
      </c>
      <c r="G139" s="6">
        <v>4221.8599999999997</v>
      </c>
      <c r="H139" s="9">
        <v>3952110000</v>
      </c>
      <c r="I139" t="str">
        <f t="shared" si="4"/>
        <v>June</v>
      </c>
      <c r="J139" t="str">
        <f t="shared" si="5"/>
        <v>SP500</v>
      </c>
    </row>
    <row r="140" spans="1:10" x14ac:dyDescent="0.3">
      <c r="A140" s="1">
        <v>44363</v>
      </c>
      <c r="B140" t="s">
        <v>26</v>
      </c>
      <c r="C140" t="s">
        <v>22</v>
      </c>
      <c r="D140" s="5">
        <v>4248.87</v>
      </c>
      <c r="E140" s="6">
        <v>4251.8900000000003</v>
      </c>
      <c r="F140" s="6">
        <v>4202.45</v>
      </c>
      <c r="G140" s="6">
        <v>4223.7</v>
      </c>
      <c r="H140" s="9">
        <v>3722050000</v>
      </c>
      <c r="I140" t="str">
        <f t="shared" si="4"/>
        <v>June</v>
      </c>
      <c r="J140" t="str">
        <f t="shared" si="5"/>
        <v>SP500</v>
      </c>
    </row>
    <row r="141" spans="1:10" x14ac:dyDescent="0.3">
      <c r="A141" s="1">
        <v>44362</v>
      </c>
      <c r="B141" t="s">
        <v>26</v>
      </c>
      <c r="C141" t="s">
        <v>22</v>
      </c>
      <c r="D141" s="5">
        <v>4255.28</v>
      </c>
      <c r="E141" s="6">
        <v>4257.16</v>
      </c>
      <c r="F141" s="6">
        <v>4238.3500000000004</v>
      </c>
      <c r="G141" s="6">
        <v>4246.59</v>
      </c>
      <c r="H141" s="9">
        <v>3578450000</v>
      </c>
      <c r="I141" t="str">
        <f t="shared" si="4"/>
        <v>June</v>
      </c>
      <c r="J141" t="str">
        <f t="shared" si="5"/>
        <v>SP500</v>
      </c>
    </row>
    <row r="142" spans="1:10" x14ac:dyDescent="0.3">
      <c r="A142" s="1">
        <v>44361</v>
      </c>
      <c r="B142" t="s">
        <v>26</v>
      </c>
      <c r="C142" t="s">
        <v>22</v>
      </c>
      <c r="D142" s="5">
        <v>4248.3100000000004</v>
      </c>
      <c r="E142" s="6">
        <v>4255.59</v>
      </c>
      <c r="F142" s="6">
        <v>4234.07</v>
      </c>
      <c r="G142" s="6">
        <v>4255.1499999999996</v>
      </c>
      <c r="H142" s="9">
        <v>3612050000</v>
      </c>
      <c r="I142" t="str">
        <f t="shared" si="4"/>
        <v>June</v>
      </c>
      <c r="J142" t="str">
        <f t="shared" si="5"/>
        <v>SP500</v>
      </c>
    </row>
    <row r="143" spans="1:10" x14ac:dyDescent="0.3">
      <c r="A143" s="1">
        <v>44358</v>
      </c>
      <c r="B143" t="s">
        <v>26</v>
      </c>
      <c r="C143" t="s">
        <v>22</v>
      </c>
      <c r="D143" s="5">
        <v>4242.8999999999996</v>
      </c>
      <c r="E143" s="6">
        <v>4248.38</v>
      </c>
      <c r="F143" s="6">
        <v>4232.25</v>
      </c>
      <c r="G143" s="6">
        <v>4247.4399999999996</v>
      </c>
      <c r="H143" s="9">
        <v>3204280000</v>
      </c>
      <c r="I143" t="str">
        <f t="shared" si="4"/>
        <v>June</v>
      </c>
      <c r="J143" t="str">
        <f t="shared" si="5"/>
        <v>SP500</v>
      </c>
    </row>
    <row r="144" spans="1:10" x14ac:dyDescent="0.3">
      <c r="A144" s="1">
        <v>44357</v>
      </c>
      <c r="B144" t="s">
        <v>26</v>
      </c>
      <c r="C144" t="s">
        <v>22</v>
      </c>
      <c r="D144" s="5">
        <v>4228.5600000000004</v>
      </c>
      <c r="E144" s="6">
        <v>4249.74</v>
      </c>
      <c r="F144" s="6">
        <v>4220.34</v>
      </c>
      <c r="G144" s="6">
        <v>4239.18</v>
      </c>
      <c r="H144" s="9">
        <v>3502480000</v>
      </c>
      <c r="I144" t="str">
        <f t="shared" si="4"/>
        <v>June</v>
      </c>
      <c r="J144" t="str">
        <f t="shared" si="5"/>
        <v>SP500</v>
      </c>
    </row>
    <row r="145" spans="1:10" x14ac:dyDescent="0.3">
      <c r="A145" s="1">
        <v>44356</v>
      </c>
      <c r="B145" t="s">
        <v>26</v>
      </c>
      <c r="C145" t="s">
        <v>22</v>
      </c>
      <c r="D145" s="5">
        <v>4232.99</v>
      </c>
      <c r="E145" s="6">
        <v>4237.09</v>
      </c>
      <c r="F145" s="6">
        <v>4218.74</v>
      </c>
      <c r="G145" s="6">
        <v>4219.55</v>
      </c>
      <c r="H145" s="9">
        <v>3902870000</v>
      </c>
      <c r="I145" t="str">
        <f t="shared" si="4"/>
        <v>June</v>
      </c>
      <c r="J145" t="str">
        <f t="shared" si="5"/>
        <v>SP500</v>
      </c>
    </row>
    <row r="146" spans="1:10" x14ac:dyDescent="0.3">
      <c r="A146" s="1">
        <v>44355</v>
      </c>
      <c r="B146" t="s">
        <v>26</v>
      </c>
      <c r="C146" t="s">
        <v>22</v>
      </c>
      <c r="D146" s="5">
        <v>4233.8100000000004</v>
      </c>
      <c r="E146" s="6">
        <v>4236.74</v>
      </c>
      <c r="F146" s="6">
        <v>4208.41</v>
      </c>
      <c r="G146" s="6">
        <v>4227.26</v>
      </c>
      <c r="H146" s="9">
        <v>3943870000</v>
      </c>
      <c r="I146" t="str">
        <f t="shared" si="4"/>
        <v>June</v>
      </c>
      <c r="J146" t="str">
        <f t="shared" si="5"/>
        <v>SP500</v>
      </c>
    </row>
    <row r="147" spans="1:10" x14ac:dyDescent="0.3">
      <c r="A147" s="1">
        <v>44354</v>
      </c>
      <c r="B147" t="s">
        <v>26</v>
      </c>
      <c r="C147" t="s">
        <v>22</v>
      </c>
      <c r="D147" s="5">
        <v>4229.34</v>
      </c>
      <c r="E147" s="6">
        <v>4232.34</v>
      </c>
      <c r="F147" s="6">
        <v>4215.66</v>
      </c>
      <c r="G147" s="6">
        <v>4226.5200000000004</v>
      </c>
      <c r="H147" s="9">
        <v>3835570000</v>
      </c>
      <c r="I147" t="str">
        <f t="shared" si="4"/>
        <v>June</v>
      </c>
      <c r="J147" t="str">
        <f t="shared" si="5"/>
        <v>SP500</v>
      </c>
    </row>
    <row r="148" spans="1:10" x14ac:dyDescent="0.3">
      <c r="A148" s="1">
        <v>44351</v>
      </c>
      <c r="B148" t="s">
        <v>26</v>
      </c>
      <c r="C148" t="s">
        <v>22</v>
      </c>
      <c r="D148" s="5">
        <v>4206.05</v>
      </c>
      <c r="E148" s="6">
        <v>4233.45</v>
      </c>
      <c r="F148" s="6">
        <v>4206.05</v>
      </c>
      <c r="G148" s="6">
        <v>4229.8900000000003</v>
      </c>
      <c r="H148" s="9">
        <v>3487070000</v>
      </c>
      <c r="I148" t="str">
        <f t="shared" si="4"/>
        <v>June</v>
      </c>
      <c r="J148" t="str">
        <f t="shared" si="5"/>
        <v>SP500</v>
      </c>
    </row>
    <row r="149" spans="1:10" x14ac:dyDescent="0.3">
      <c r="A149" s="1">
        <v>44350</v>
      </c>
      <c r="B149" t="s">
        <v>26</v>
      </c>
      <c r="C149" t="s">
        <v>22</v>
      </c>
      <c r="D149" s="5">
        <v>4191.43</v>
      </c>
      <c r="E149" s="6">
        <v>4204.3900000000003</v>
      </c>
      <c r="F149" s="6">
        <v>4167.93</v>
      </c>
      <c r="G149" s="6">
        <v>4192.8500000000004</v>
      </c>
      <c r="H149" s="9">
        <v>4579450000</v>
      </c>
      <c r="I149" t="str">
        <f t="shared" si="4"/>
        <v>June</v>
      </c>
      <c r="J149" t="str">
        <f t="shared" si="5"/>
        <v>SP500</v>
      </c>
    </row>
    <row r="150" spans="1:10" x14ac:dyDescent="0.3">
      <c r="A150" s="1">
        <v>44349</v>
      </c>
      <c r="B150" t="s">
        <v>26</v>
      </c>
      <c r="C150" t="s">
        <v>22</v>
      </c>
      <c r="D150" s="5">
        <v>4206.82</v>
      </c>
      <c r="E150" s="6">
        <v>4217.37</v>
      </c>
      <c r="F150" s="6">
        <v>4198.2700000000004</v>
      </c>
      <c r="G150" s="6">
        <v>4208.12</v>
      </c>
      <c r="H150" s="9">
        <v>4860930000</v>
      </c>
      <c r="I150" t="str">
        <f t="shared" si="4"/>
        <v>June</v>
      </c>
      <c r="J150" t="str">
        <f t="shared" si="5"/>
        <v>SP500</v>
      </c>
    </row>
    <row r="151" spans="1:10" x14ac:dyDescent="0.3">
      <c r="A151" s="1">
        <v>44348</v>
      </c>
      <c r="B151" t="s">
        <v>26</v>
      </c>
      <c r="C151" t="s">
        <v>22</v>
      </c>
      <c r="D151" s="5">
        <v>4216.5200000000004</v>
      </c>
      <c r="E151" s="6">
        <v>4234.12</v>
      </c>
      <c r="F151" s="6">
        <v>4197.59</v>
      </c>
      <c r="G151" s="6">
        <v>4202.04</v>
      </c>
      <c r="H151" s="9">
        <v>4122960000</v>
      </c>
      <c r="I151" t="str">
        <f t="shared" si="4"/>
        <v>June</v>
      </c>
      <c r="J151" t="str">
        <f t="shared" si="5"/>
        <v>SP500</v>
      </c>
    </row>
    <row r="152" spans="1:10" x14ac:dyDescent="0.3">
      <c r="A152" s="1">
        <v>44344</v>
      </c>
      <c r="B152" t="s">
        <v>13</v>
      </c>
      <c r="C152" t="s">
        <v>22</v>
      </c>
      <c r="D152" s="5">
        <v>4210.7700000000004</v>
      </c>
      <c r="E152" s="6">
        <v>4218.3599999999997</v>
      </c>
      <c r="F152" s="6">
        <v>4203.57</v>
      </c>
      <c r="G152" s="6">
        <v>4204.1099999999997</v>
      </c>
      <c r="H152" s="9">
        <v>4199270000</v>
      </c>
      <c r="I152" t="str">
        <f t="shared" si="4"/>
        <v>May</v>
      </c>
      <c r="J152" t="str">
        <f t="shared" si="5"/>
        <v>SP500</v>
      </c>
    </row>
    <row r="153" spans="1:10" x14ac:dyDescent="0.3">
      <c r="A153" s="1">
        <v>44343</v>
      </c>
      <c r="B153" t="s">
        <v>13</v>
      </c>
      <c r="C153" t="s">
        <v>22</v>
      </c>
      <c r="D153" s="5">
        <v>4201.9399999999996</v>
      </c>
      <c r="E153" s="6">
        <v>4213.38</v>
      </c>
      <c r="F153" s="6">
        <v>4197.78</v>
      </c>
      <c r="G153" s="6">
        <v>4200.88</v>
      </c>
      <c r="H153" s="9">
        <v>5201110000</v>
      </c>
      <c r="I153" t="str">
        <f t="shared" si="4"/>
        <v>May</v>
      </c>
      <c r="J153" t="str">
        <f t="shared" si="5"/>
        <v>SP500</v>
      </c>
    </row>
    <row r="154" spans="1:10" x14ac:dyDescent="0.3">
      <c r="A154" s="1">
        <v>44342</v>
      </c>
      <c r="B154" t="s">
        <v>13</v>
      </c>
      <c r="C154" t="s">
        <v>22</v>
      </c>
      <c r="D154" s="5">
        <v>4191.59</v>
      </c>
      <c r="E154" s="6">
        <v>4202.6099999999997</v>
      </c>
      <c r="F154" s="6">
        <v>4184.1099999999997</v>
      </c>
      <c r="G154" s="6">
        <v>4195.99</v>
      </c>
      <c r="H154" s="9">
        <v>3674490000</v>
      </c>
      <c r="I154" t="str">
        <f t="shared" si="4"/>
        <v>May</v>
      </c>
      <c r="J154" t="str">
        <f t="shared" si="5"/>
        <v>SP500</v>
      </c>
    </row>
    <row r="155" spans="1:10" x14ac:dyDescent="0.3">
      <c r="A155" s="1">
        <v>44341</v>
      </c>
      <c r="B155" t="s">
        <v>13</v>
      </c>
      <c r="C155" t="s">
        <v>22</v>
      </c>
      <c r="D155" s="5">
        <v>4205.9399999999996</v>
      </c>
      <c r="E155" s="6">
        <v>4213.42</v>
      </c>
      <c r="F155" s="6">
        <v>4182.5200000000004</v>
      </c>
      <c r="G155" s="6">
        <v>4188.13</v>
      </c>
      <c r="H155" s="9">
        <v>3420870000</v>
      </c>
      <c r="I155" t="str">
        <f t="shared" si="4"/>
        <v>May</v>
      </c>
      <c r="J155" t="str">
        <f t="shared" si="5"/>
        <v>SP500</v>
      </c>
    </row>
    <row r="156" spans="1:10" x14ac:dyDescent="0.3">
      <c r="A156" s="1">
        <v>44340</v>
      </c>
      <c r="B156" t="s">
        <v>13</v>
      </c>
      <c r="C156" t="s">
        <v>22</v>
      </c>
      <c r="D156" s="5">
        <v>4170.16</v>
      </c>
      <c r="E156" s="6">
        <v>4209.5200000000004</v>
      </c>
      <c r="F156" s="6">
        <v>4170.16</v>
      </c>
      <c r="G156" s="6">
        <v>4197.05</v>
      </c>
      <c r="H156" s="9">
        <v>2947400000</v>
      </c>
      <c r="I156" t="str">
        <f t="shared" si="4"/>
        <v>May</v>
      </c>
      <c r="J156" t="str">
        <f t="shared" si="5"/>
        <v>SP500</v>
      </c>
    </row>
    <row r="157" spans="1:10" x14ac:dyDescent="0.3">
      <c r="A157" s="1">
        <v>44337</v>
      </c>
      <c r="B157" t="s">
        <v>13</v>
      </c>
      <c r="C157" t="s">
        <v>22</v>
      </c>
      <c r="D157" s="5">
        <v>4168.6099999999997</v>
      </c>
      <c r="E157" s="6">
        <v>4188.72</v>
      </c>
      <c r="F157" s="6">
        <v>4151.72</v>
      </c>
      <c r="G157" s="6">
        <v>4155.8599999999997</v>
      </c>
      <c r="H157" s="9">
        <v>3344620000</v>
      </c>
      <c r="I157" t="str">
        <f t="shared" si="4"/>
        <v>May</v>
      </c>
      <c r="J157" t="str">
        <f t="shared" si="5"/>
        <v>SP500</v>
      </c>
    </row>
    <row r="158" spans="1:10" x14ac:dyDescent="0.3">
      <c r="A158" s="1">
        <v>44336</v>
      </c>
      <c r="B158" t="s">
        <v>13</v>
      </c>
      <c r="C158" t="s">
        <v>22</v>
      </c>
      <c r="D158" s="5">
        <v>4121.97</v>
      </c>
      <c r="E158" s="6">
        <v>4172.8</v>
      </c>
      <c r="F158" s="6">
        <v>4121.97</v>
      </c>
      <c r="G158" s="6">
        <v>4159.12</v>
      </c>
      <c r="H158" s="9">
        <v>3019060000</v>
      </c>
      <c r="I158" t="str">
        <f t="shared" si="4"/>
        <v>May</v>
      </c>
      <c r="J158" t="str">
        <f t="shared" si="5"/>
        <v>SP500</v>
      </c>
    </row>
    <row r="159" spans="1:10" x14ac:dyDescent="0.3">
      <c r="A159" s="1">
        <v>44335</v>
      </c>
      <c r="B159" t="s">
        <v>13</v>
      </c>
      <c r="C159" t="s">
        <v>22</v>
      </c>
      <c r="D159" s="5">
        <v>4098.45</v>
      </c>
      <c r="E159" s="6">
        <v>4116.93</v>
      </c>
      <c r="F159" s="6">
        <v>4061.41</v>
      </c>
      <c r="G159" s="6">
        <v>4115.68</v>
      </c>
      <c r="H159" s="9">
        <v>3485550000</v>
      </c>
      <c r="I159" t="str">
        <f t="shared" si="4"/>
        <v>May</v>
      </c>
      <c r="J159" t="str">
        <f t="shared" si="5"/>
        <v>SP500</v>
      </c>
    </row>
    <row r="160" spans="1:10" x14ac:dyDescent="0.3">
      <c r="A160" s="1">
        <v>44334</v>
      </c>
      <c r="B160" t="s">
        <v>13</v>
      </c>
      <c r="C160" t="s">
        <v>22</v>
      </c>
      <c r="D160" s="5">
        <v>4165.9399999999996</v>
      </c>
      <c r="E160" s="6">
        <v>4169.1499999999996</v>
      </c>
      <c r="F160" s="6">
        <v>4125.99</v>
      </c>
      <c r="G160" s="6">
        <v>4127.83</v>
      </c>
      <c r="H160" s="9">
        <v>3559790000</v>
      </c>
      <c r="I160" t="str">
        <f t="shared" si="4"/>
        <v>May</v>
      </c>
      <c r="J160" t="str">
        <f t="shared" si="5"/>
        <v>SP500</v>
      </c>
    </row>
    <row r="161" spans="1:10" x14ac:dyDescent="0.3">
      <c r="A161" s="1">
        <v>44333</v>
      </c>
      <c r="B161" t="s">
        <v>13</v>
      </c>
      <c r="C161" t="s">
        <v>22</v>
      </c>
      <c r="D161" s="5">
        <v>4169.92</v>
      </c>
      <c r="E161" s="6">
        <v>4171.92</v>
      </c>
      <c r="F161" s="6">
        <v>4142.6899999999996</v>
      </c>
      <c r="G161" s="6">
        <v>4163.29</v>
      </c>
      <c r="H161" s="9">
        <v>3307130000</v>
      </c>
      <c r="I161" t="str">
        <f t="shared" si="4"/>
        <v>May</v>
      </c>
      <c r="J161" t="str">
        <f t="shared" si="5"/>
        <v>SP500</v>
      </c>
    </row>
    <row r="162" spans="1:10" x14ac:dyDescent="0.3">
      <c r="A162" s="1">
        <v>44330</v>
      </c>
      <c r="B162" t="s">
        <v>13</v>
      </c>
      <c r="C162" t="s">
        <v>22</v>
      </c>
      <c r="D162" s="5">
        <v>4129.58</v>
      </c>
      <c r="E162" s="6">
        <v>4183.13</v>
      </c>
      <c r="F162" s="6">
        <v>4129.58</v>
      </c>
      <c r="G162" s="6">
        <v>4173.8500000000004</v>
      </c>
      <c r="H162" s="9">
        <v>3251920000</v>
      </c>
      <c r="I162" t="str">
        <f t="shared" si="4"/>
        <v>May</v>
      </c>
      <c r="J162" t="str">
        <f t="shared" si="5"/>
        <v>SP500</v>
      </c>
    </row>
    <row r="163" spans="1:10" x14ac:dyDescent="0.3">
      <c r="A163" s="1">
        <v>44329</v>
      </c>
      <c r="B163" t="s">
        <v>13</v>
      </c>
      <c r="C163" t="s">
        <v>22</v>
      </c>
      <c r="D163" s="5">
        <v>4074.99</v>
      </c>
      <c r="E163" s="6">
        <v>4131.58</v>
      </c>
      <c r="F163" s="6">
        <v>4074.99</v>
      </c>
      <c r="G163" s="6">
        <v>4112.5</v>
      </c>
      <c r="H163" s="9">
        <v>3687780000</v>
      </c>
      <c r="I163" t="str">
        <f t="shared" si="4"/>
        <v>May</v>
      </c>
      <c r="J163" t="str">
        <f t="shared" si="5"/>
        <v>SP500</v>
      </c>
    </row>
    <row r="164" spans="1:10" x14ac:dyDescent="0.3">
      <c r="A164" s="1">
        <v>44328</v>
      </c>
      <c r="B164" t="s">
        <v>13</v>
      </c>
      <c r="C164" t="s">
        <v>22</v>
      </c>
      <c r="D164" s="5">
        <v>4130.55</v>
      </c>
      <c r="E164" s="6">
        <v>4134.7299999999996</v>
      </c>
      <c r="F164" s="6">
        <v>4056.88</v>
      </c>
      <c r="G164" s="6">
        <v>4063.04</v>
      </c>
      <c r="H164" s="9">
        <v>3735080000</v>
      </c>
      <c r="I164" t="str">
        <f t="shared" si="4"/>
        <v>May</v>
      </c>
      <c r="J164" t="str">
        <f t="shared" si="5"/>
        <v>SP500</v>
      </c>
    </row>
    <row r="165" spans="1:10" x14ac:dyDescent="0.3">
      <c r="A165" s="1">
        <v>44327</v>
      </c>
      <c r="B165" t="s">
        <v>13</v>
      </c>
      <c r="C165" t="s">
        <v>22</v>
      </c>
      <c r="D165" s="5">
        <v>4150.34</v>
      </c>
      <c r="E165" s="6">
        <v>4162.04</v>
      </c>
      <c r="F165" s="6">
        <v>4111.53</v>
      </c>
      <c r="G165" s="6">
        <v>4152.1000000000004</v>
      </c>
      <c r="H165" s="9">
        <v>3593110000</v>
      </c>
      <c r="I165" t="str">
        <f t="shared" si="4"/>
        <v>May</v>
      </c>
      <c r="J165" t="str">
        <f t="shared" si="5"/>
        <v>SP500</v>
      </c>
    </row>
    <row r="166" spans="1:10" x14ac:dyDescent="0.3">
      <c r="A166" s="1">
        <v>44326</v>
      </c>
      <c r="B166" t="s">
        <v>13</v>
      </c>
      <c r="C166" t="s">
        <v>22</v>
      </c>
      <c r="D166" s="5">
        <v>4228.29</v>
      </c>
      <c r="E166" s="6">
        <v>4236.3900000000003</v>
      </c>
      <c r="F166" s="6">
        <v>4188.13</v>
      </c>
      <c r="G166" s="6">
        <v>4188.43</v>
      </c>
      <c r="H166" s="9">
        <v>3678970000</v>
      </c>
      <c r="I166" t="str">
        <f t="shared" si="4"/>
        <v>May</v>
      </c>
      <c r="J166" t="str">
        <f t="shared" si="5"/>
        <v>SP500</v>
      </c>
    </row>
    <row r="167" spans="1:10" x14ac:dyDescent="0.3">
      <c r="A167" s="1">
        <v>44323</v>
      </c>
      <c r="B167" t="s">
        <v>13</v>
      </c>
      <c r="C167" t="s">
        <v>22</v>
      </c>
      <c r="D167" s="5">
        <v>4210.34</v>
      </c>
      <c r="E167" s="6">
        <v>4238.04</v>
      </c>
      <c r="F167" s="6">
        <v>4201.6400000000003</v>
      </c>
      <c r="G167" s="6">
        <v>4232.6000000000004</v>
      </c>
      <c r="H167" s="9">
        <v>4013060000</v>
      </c>
      <c r="I167" t="str">
        <f t="shared" si="4"/>
        <v>May</v>
      </c>
      <c r="J167" t="str">
        <f t="shared" si="5"/>
        <v>SP500</v>
      </c>
    </row>
    <row r="168" spans="1:10" x14ac:dyDescent="0.3">
      <c r="A168" s="1">
        <v>44322</v>
      </c>
      <c r="B168" t="s">
        <v>13</v>
      </c>
      <c r="C168" t="s">
        <v>22</v>
      </c>
      <c r="D168" s="5">
        <v>4169.1400000000003</v>
      </c>
      <c r="E168" s="6">
        <v>4202.7</v>
      </c>
      <c r="F168" s="6">
        <v>4147.33</v>
      </c>
      <c r="G168" s="6">
        <v>4201.62</v>
      </c>
      <c r="H168" s="9">
        <v>4504860000</v>
      </c>
      <c r="I168" t="str">
        <f t="shared" si="4"/>
        <v>May</v>
      </c>
      <c r="J168" t="str">
        <f t="shared" si="5"/>
        <v>SP500</v>
      </c>
    </row>
    <row r="169" spans="1:10" x14ac:dyDescent="0.3">
      <c r="A169" s="1">
        <v>44321</v>
      </c>
      <c r="B169" t="s">
        <v>13</v>
      </c>
      <c r="C169" t="s">
        <v>22</v>
      </c>
      <c r="D169" s="5">
        <v>4177.0600000000004</v>
      </c>
      <c r="E169" s="6">
        <v>4187.72</v>
      </c>
      <c r="F169" s="6">
        <v>4160.9399999999996</v>
      </c>
      <c r="G169" s="6">
        <v>4167.59</v>
      </c>
      <c r="H169" s="9">
        <v>4029050000</v>
      </c>
      <c r="I169" t="str">
        <f t="shared" si="4"/>
        <v>May</v>
      </c>
      <c r="J169" t="str">
        <f t="shared" si="5"/>
        <v>SP500</v>
      </c>
    </row>
    <row r="170" spans="1:10" x14ac:dyDescent="0.3">
      <c r="A170" s="1">
        <v>44320</v>
      </c>
      <c r="B170" t="s">
        <v>13</v>
      </c>
      <c r="C170" t="s">
        <v>22</v>
      </c>
      <c r="D170" s="5">
        <v>4179.04</v>
      </c>
      <c r="E170" s="6">
        <v>4179.04</v>
      </c>
      <c r="F170" s="6">
        <v>4128.59</v>
      </c>
      <c r="G170" s="6">
        <v>4164.66</v>
      </c>
      <c r="H170" s="9">
        <v>4441080000</v>
      </c>
      <c r="I170" t="str">
        <f t="shared" si="4"/>
        <v>May</v>
      </c>
      <c r="J170" t="str">
        <f t="shared" si="5"/>
        <v>SP500</v>
      </c>
    </row>
    <row r="171" spans="1:10" x14ac:dyDescent="0.3">
      <c r="A171" s="1">
        <v>44319</v>
      </c>
      <c r="B171" t="s">
        <v>13</v>
      </c>
      <c r="C171" t="s">
        <v>22</v>
      </c>
      <c r="D171" s="5">
        <v>4191.9799999999996</v>
      </c>
      <c r="E171" s="6">
        <v>4209.3900000000003</v>
      </c>
      <c r="F171" s="6">
        <v>4188.03</v>
      </c>
      <c r="G171" s="6">
        <v>4192.66</v>
      </c>
      <c r="H171" s="9">
        <v>4061170000</v>
      </c>
      <c r="I171" t="str">
        <f t="shared" si="4"/>
        <v>May</v>
      </c>
      <c r="J171" t="str">
        <f t="shared" si="5"/>
        <v>SP500</v>
      </c>
    </row>
    <row r="172" spans="1:10" x14ac:dyDescent="0.3">
      <c r="A172" s="1">
        <v>44316</v>
      </c>
      <c r="B172" t="s">
        <v>25</v>
      </c>
      <c r="C172" t="s">
        <v>22</v>
      </c>
      <c r="D172" s="5">
        <v>4198.1000000000004</v>
      </c>
      <c r="E172" s="6">
        <v>4198.1000000000004</v>
      </c>
      <c r="F172" s="6">
        <v>4174.8500000000004</v>
      </c>
      <c r="G172" s="6">
        <v>4181.17</v>
      </c>
      <c r="H172" s="9">
        <v>4273680000</v>
      </c>
      <c r="I172" t="str">
        <f t="shared" si="4"/>
        <v>April</v>
      </c>
      <c r="J172" t="str">
        <f t="shared" si="5"/>
        <v>SP500</v>
      </c>
    </row>
    <row r="173" spans="1:10" x14ac:dyDescent="0.3">
      <c r="A173" s="1">
        <v>44315</v>
      </c>
      <c r="B173" t="s">
        <v>25</v>
      </c>
      <c r="C173" t="s">
        <v>22</v>
      </c>
      <c r="D173" s="5">
        <v>4206.1400000000003</v>
      </c>
      <c r="E173" s="6">
        <v>4218.78</v>
      </c>
      <c r="F173" s="6">
        <v>4176.8100000000004</v>
      </c>
      <c r="G173" s="6">
        <v>4211.47</v>
      </c>
      <c r="H173" s="9">
        <v>4288940000</v>
      </c>
      <c r="I173" t="str">
        <f t="shared" si="4"/>
        <v>April</v>
      </c>
      <c r="J173" t="str">
        <f t="shared" si="5"/>
        <v>SP500</v>
      </c>
    </row>
    <row r="174" spans="1:10" x14ac:dyDescent="0.3">
      <c r="A174" s="1">
        <v>44314</v>
      </c>
      <c r="B174" t="s">
        <v>25</v>
      </c>
      <c r="C174" t="s">
        <v>22</v>
      </c>
      <c r="D174" s="5">
        <v>4185.1400000000003</v>
      </c>
      <c r="E174" s="6">
        <v>4201.53</v>
      </c>
      <c r="F174" s="6">
        <v>4181.78</v>
      </c>
      <c r="G174" s="6">
        <v>4183.18</v>
      </c>
      <c r="H174" s="9">
        <v>3772390000</v>
      </c>
      <c r="I174" t="str">
        <f t="shared" si="4"/>
        <v>April</v>
      </c>
      <c r="J174" t="str">
        <f t="shared" si="5"/>
        <v>SP500</v>
      </c>
    </row>
    <row r="175" spans="1:10" x14ac:dyDescent="0.3">
      <c r="A175" s="1">
        <v>44313</v>
      </c>
      <c r="B175" t="s">
        <v>25</v>
      </c>
      <c r="C175" t="s">
        <v>22</v>
      </c>
      <c r="D175" s="5">
        <v>4188.25</v>
      </c>
      <c r="E175" s="6">
        <v>4193.3500000000004</v>
      </c>
      <c r="F175" s="6">
        <v>4176.22</v>
      </c>
      <c r="G175" s="6">
        <v>4186.72</v>
      </c>
      <c r="H175" s="9">
        <v>3703240000</v>
      </c>
      <c r="I175" t="str">
        <f t="shared" si="4"/>
        <v>April</v>
      </c>
      <c r="J175" t="str">
        <f t="shared" si="5"/>
        <v>SP500</v>
      </c>
    </row>
    <row r="176" spans="1:10" x14ac:dyDescent="0.3">
      <c r="A176" s="1">
        <v>44312</v>
      </c>
      <c r="B176" t="s">
        <v>25</v>
      </c>
      <c r="C176" t="s">
        <v>22</v>
      </c>
      <c r="D176" s="5">
        <v>4185.03</v>
      </c>
      <c r="E176" s="6">
        <v>4194.1899999999996</v>
      </c>
      <c r="F176" s="6">
        <v>4182.3599999999997</v>
      </c>
      <c r="G176" s="6">
        <v>4187.62</v>
      </c>
      <c r="H176" s="9">
        <v>3738920000</v>
      </c>
      <c r="I176" t="str">
        <f t="shared" si="4"/>
        <v>April</v>
      </c>
      <c r="J176" t="str">
        <f t="shared" si="5"/>
        <v>SP500</v>
      </c>
    </row>
    <row r="177" spans="1:10" x14ac:dyDescent="0.3">
      <c r="A177" s="1">
        <v>44309</v>
      </c>
      <c r="B177" t="s">
        <v>25</v>
      </c>
      <c r="C177" t="s">
        <v>22</v>
      </c>
      <c r="D177" s="5">
        <v>4138.78</v>
      </c>
      <c r="E177" s="6">
        <v>4194.17</v>
      </c>
      <c r="F177" s="6">
        <v>4138.78</v>
      </c>
      <c r="G177" s="6">
        <v>4180.17</v>
      </c>
      <c r="H177" s="9">
        <v>3568080000</v>
      </c>
      <c r="I177" t="str">
        <f t="shared" si="4"/>
        <v>April</v>
      </c>
      <c r="J177" t="str">
        <f t="shared" si="5"/>
        <v>SP500</v>
      </c>
    </row>
    <row r="178" spans="1:10" x14ac:dyDescent="0.3">
      <c r="A178" s="1">
        <v>44308</v>
      </c>
      <c r="B178" t="s">
        <v>25</v>
      </c>
      <c r="C178" t="s">
        <v>22</v>
      </c>
      <c r="D178" s="5">
        <v>4170.46</v>
      </c>
      <c r="E178" s="6">
        <v>4179.57</v>
      </c>
      <c r="F178" s="6">
        <v>4123.6899999999996</v>
      </c>
      <c r="G178" s="6">
        <v>4134.9799999999996</v>
      </c>
      <c r="H178" s="9">
        <v>4235040000</v>
      </c>
      <c r="I178" t="str">
        <f t="shared" si="4"/>
        <v>April</v>
      </c>
      <c r="J178" t="str">
        <f t="shared" si="5"/>
        <v>SP500</v>
      </c>
    </row>
    <row r="179" spans="1:10" x14ac:dyDescent="0.3">
      <c r="A179" s="1">
        <v>44307</v>
      </c>
      <c r="B179" t="s">
        <v>25</v>
      </c>
      <c r="C179" t="s">
        <v>22</v>
      </c>
      <c r="D179" s="5">
        <v>4128.42</v>
      </c>
      <c r="E179" s="6">
        <v>4175.0200000000004</v>
      </c>
      <c r="F179" s="6">
        <v>4126.3500000000004</v>
      </c>
      <c r="G179" s="6">
        <v>4173.42</v>
      </c>
      <c r="H179" s="9">
        <v>3865820000</v>
      </c>
      <c r="I179" t="str">
        <f t="shared" si="4"/>
        <v>April</v>
      </c>
      <c r="J179" t="str">
        <f t="shared" si="5"/>
        <v>SP500</v>
      </c>
    </row>
    <row r="180" spans="1:10" x14ac:dyDescent="0.3">
      <c r="A180" s="1">
        <v>44306</v>
      </c>
      <c r="B180" t="s">
        <v>25</v>
      </c>
      <c r="C180" t="s">
        <v>22</v>
      </c>
      <c r="D180" s="5">
        <v>4159.18</v>
      </c>
      <c r="E180" s="6">
        <v>4159.18</v>
      </c>
      <c r="F180" s="6">
        <v>4118.38</v>
      </c>
      <c r="G180" s="6">
        <v>4134.9399999999996</v>
      </c>
      <c r="H180" s="9">
        <v>4338230000</v>
      </c>
      <c r="I180" t="str">
        <f t="shared" si="4"/>
        <v>April</v>
      </c>
      <c r="J180" t="str">
        <f t="shared" si="5"/>
        <v>SP500</v>
      </c>
    </row>
    <row r="181" spans="1:10" x14ac:dyDescent="0.3">
      <c r="A181" s="1">
        <v>44305</v>
      </c>
      <c r="B181" t="s">
        <v>25</v>
      </c>
      <c r="C181" t="s">
        <v>22</v>
      </c>
      <c r="D181" s="5">
        <v>4179.8</v>
      </c>
      <c r="E181" s="6">
        <v>4180.8100000000004</v>
      </c>
      <c r="F181" s="6">
        <v>4150.47</v>
      </c>
      <c r="G181" s="6">
        <v>4163.26</v>
      </c>
      <c r="H181" s="9">
        <v>3788020000</v>
      </c>
      <c r="I181" t="str">
        <f t="shared" si="4"/>
        <v>April</v>
      </c>
      <c r="J181" t="str">
        <f t="shared" si="5"/>
        <v>SP500</v>
      </c>
    </row>
    <row r="182" spans="1:10" x14ac:dyDescent="0.3">
      <c r="A182" s="1">
        <v>44302</v>
      </c>
      <c r="B182" t="s">
        <v>25</v>
      </c>
      <c r="C182" t="s">
        <v>22</v>
      </c>
      <c r="D182" s="5">
        <v>4174.1400000000003</v>
      </c>
      <c r="E182" s="6">
        <v>4191.3100000000004</v>
      </c>
      <c r="F182" s="6">
        <v>4170.75</v>
      </c>
      <c r="G182" s="6">
        <v>4185.47</v>
      </c>
      <c r="H182" s="9">
        <v>4157430000</v>
      </c>
      <c r="I182" t="str">
        <f t="shared" si="4"/>
        <v>April</v>
      </c>
      <c r="J182" t="str">
        <f t="shared" si="5"/>
        <v>SP500</v>
      </c>
    </row>
    <row r="183" spans="1:10" x14ac:dyDescent="0.3">
      <c r="A183" s="1">
        <v>44301</v>
      </c>
      <c r="B183" t="s">
        <v>25</v>
      </c>
      <c r="C183" t="s">
        <v>22</v>
      </c>
      <c r="D183" s="5">
        <v>4139.76</v>
      </c>
      <c r="E183" s="6">
        <v>4173.49</v>
      </c>
      <c r="F183" s="6">
        <v>4139.76</v>
      </c>
      <c r="G183" s="6">
        <v>4170.42</v>
      </c>
      <c r="H183" s="9">
        <v>4027680000</v>
      </c>
      <c r="I183" t="str">
        <f t="shared" si="4"/>
        <v>April</v>
      </c>
      <c r="J183" t="str">
        <f t="shared" si="5"/>
        <v>SP500</v>
      </c>
    </row>
    <row r="184" spans="1:10" x14ac:dyDescent="0.3">
      <c r="A184" s="1">
        <v>44300</v>
      </c>
      <c r="B184" t="s">
        <v>25</v>
      </c>
      <c r="C184" t="s">
        <v>22</v>
      </c>
      <c r="D184" s="5">
        <v>4141.58</v>
      </c>
      <c r="E184" s="6">
        <v>4151.6899999999996</v>
      </c>
      <c r="F184" s="6">
        <v>4120.87</v>
      </c>
      <c r="G184" s="6">
        <v>4124.66</v>
      </c>
      <c r="H184" s="9">
        <v>3976540000</v>
      </c>
      <c r="I184" t="str">
        <f t="shared" si="4"/>
        <v>April</v>
      </c>
      <c r="J184" t="str">
        <f t="shared" si="5"/>
        <v>SP500</v>
      </c>
    </row>
    <row r="185" spans="1:10" x14ac:dyDescent="0.3">
      <c r="A185" s="1">
        <v>44299</v>
      </c>
      <c r="B185" t="s">
        <v>25</v>
      </c>
      <c r="C185" t="s">
        <v>22</v>
      </c>
      <c r="D185" s="5">
        <v>4130.1000000000004</v>
      </c>
      <c r="E185" s="6">
        <v>4148</v>
      </c>
      <c r="F185" s="6">
        <v>4124.43</v>
      </c>
      <c r="G185" s="6">
        <v>4141.59</v>
      </c>
      <c r="H185" s="9">
        <v>3728440000</v>
      </c>
      <c r="I185" t="str">
        <f t="shared" si="4"/>
        <v>April</v>
      </c>
      <c r="J185" t="str">
        <f t="shared" si="5"/>
        <v>SP500</v>
      </c>
    </row>
    <row r="186" spans="1:10" x14ac:dyDescent="0.3">
      <c r="A186" s="1">
        <v>44298</v>
      </c>
      <c r="B186" t="s">
        <v>25</v>
      </c>
      <c r="C186" t="s">
        <v>22</v>
      </c>
      <c r="D186" s="5">
        <v>4124.71</v>
      </c>
      <c r="E186" s="6">
        <v>4131.76</v>
      </c>
      <c r="F186" s="6">
        <v>4114.82</v>
      </c>
      <c r="G186" s="6">
        <v>4127.99</v>
      </c>
      <c r="H186" s="9">
        <v>3578500000</v>
      </c>
      <c r="I186" t="str">
        <f t="shared" si="4"/>
        <v>April</v>
      </c>
      <c r="J186" t="str">
        <f t="shared" si="5"/>
        <v>SP500</v>
      </c>
    </row>
    <row r="187" spans="1:10" x14ac:dyDescent="0.3">
      <c r="A187" s="1">
        <v>44295</v>
      </c>
      <c r="B187" t="s">
        <v>25</v>
      </c>
      <c r="C187" t="s">
        <v>22</v>
      </c>
      <c r="D187" s="5">
        <v>4096.1099999999997</v>
      </c>
      <c r="E187" s="6">
        <v>4129.4799999999996</v>
      </c>
      <c r="F187" s="6">
        <v>4095.51</v>
      </c>
      <c r="G187" s="6">
        <v>4128.8</v>
      </c>
      <c r="H187" s="9">
        <v>3634910000</v>
      </c>
      <c r="I187" t="str">
        <f t="shared" si="4"/>
        <v>April</v>
      </c>
      <c r="J187" t="str">
        <f t="shared" si="5"/>
        <v>SP500</v>
      </c>
    </row>
    <row r="188" spans="1:10" x14ac:dyDescent="0.3">
      <c r="A188" s="1">
        <v>44294</v>
      </c>
      <c r="B188" t="s">
        <v>25</v>
      </c>
      <c r="C188" t="s">
        <v>22</v>
      </c>
      <c r="D188" s="5">
        <v>4089.95</v>
      </c>
      <c r="E188" s="6">
        <v>4098.1899999999996</v>
      </c>
      <c r="F188" s="6">
        <v>4082.54</v>
      </c>
      <c r="G188" s="6">
        <v>4097.17</v>
      </c>
      <c r="H188" s="9">
        <v>3901910000</v>
      </c>
      <c r="I188" t="str">
        <f t="shared" si="4"/>
        <v>April</v>
      </c>
      <c r="J188" t="str">
        <f t="shared" si="5"/>
        <v>SP500</v>
      </c>
    </row>
    <row r="189" spans="1:10" x14ac:dyDescent="0.3">
      <c r="A189" s="1">
        <v>44293</v>
      </c>
      <c r="B189" t="s">
        <v>25</v>
      </c>
      <c r="C189" t="s">
        <v>22</v>
      </c>
      <c r="D189" s="5">
        <v>4074.29</v>
      </c>
      <c r="E189" s="6">
        <v>4083.13</v>
      </c>
      <c r="F189" s="6">
        <v>4068.31</v>
      </c>
      <c r="G189" s="6">
        <v>4079.95</v>
      </c>
      <c r="H189" s="9">
        <v>4112640000</v>
      </c>
      <c r="I189" t="str">
        <f t="shared" si="4"/>
        <v>April</v>
      </c>
      <c r="J189" t="str">
        <f t="shared" si="5"/>
        <v>SP500</v>
      </c>
    </row>
    <row r="190" spans="1:10" x14ac:dyDescent="0.3">
      <c r="A190" s="1">
        <v>44292</v>
      </c>
      <c r="B190" t="s">
        <v>25</v>
      </c>
      <c r="C190" t="s">
        <v>22</v>
      </c>
      <c r="D190" s="5">
        <v>4075.57</v>
      </c>
      <c r="E190" s="6">
        <v>4086.23</v>
      </c>
      <c r="F190" s="6">
        <v>4068.14</v>
      </c>
      <c r="G190" s="6">
        <v>4073.94</v>
      </c>
      <c r="H190" s="9">
        <v>4027880000</v>
      </c>
      <c r="I190" t="str">
        <f t="shared" si="4"/>
        <v>April</v>
      </c>
      <c r="J190" t="str">
        <f t="shared" si="5"/>
        <v>SP500</v>
      </c>
    </row>
    <row r="191" spans="1:10" x14ac:dyDescent="0.3">
      <c r="A191" s="1">
        <v>44291</v>
      </c>
      <c r="B191" t="s">
        <v>25</v>
      </c>
      <c r="C191" t="s">
        <v>22</v>
      </c>
      <c r="D191" s="5">
        <v>4034.44</v>
      </c>
      <c r="E191" s="6">
        <v>4083.42</v>
      </c>
      <c r="F191" s="6">
        <v>4034.44</v>
      </c>
      <c r="G191" s="6">
        <v>4077.91</v>
      </c>
      <c r="H191" s="9">
        <v>3999760000</v>
      </c>
      <c r="I191" t="str">
        <f t="shared" si="4"/>
        <v>April</v>
      </c>
      <c r="J191" t="str">
        <f t="shared" si="5"/>
        <v>SP500</v>
      </c>
    </row>
    <row r="192" spans="1:10" x14ac:dyDescent="0.3">
      <c r="A192" s="1">
        <v>44287</v>
      </c>
      <c r="B192" t="s">
        <v>25</v>
      </c>
      <c r="C192" t="s">
        <v>22</v>
      </c>
      <c r="D192" s="5">
        <v>3992.78</v>
      </c>
      <c r="E192" s="6">
        <v>4020.63</v>
      </c>
      <c r="F192" s="6">
        <v>3992.78</v>
      </c>
      <c r="G192" s="6">
        <v>4019.87</v>
      </c>
      <c r="H192" s="9">
        <v>4151240000</v>
      </c>
      <c r="I192" t="str">
        <f t="shared" si="4"/>
        <v>April</v>
      </c>
      <c r="J192" t="str">
        <f t="shared" si="5"/>
        <v>SP500</v>
      </c>
    </row>
    <row r="193" spans="1:10" x14ac:dyDescent="0.3">
      <c r="A193" s="1">
        <v>44286</v>
      </c>
      <c r="B193" t="s">
        <v>24</v>
      </c>
      <c r="C193" t="s">
        <v>22</v>
      </c>
      <c r="D193" s="5">
        <v>3967.25</v>
      </c>
      <c r="E193" s="6">
        <v>3994.41</v>
      </c>
      <c r="F193" s="6">
        <v>3966.98</v>
      </c>
      <c r="G193" s="6">
        <v>3972.89</v>
      </c>
      <c r="H193" s="9">
        <v>4564980000</v>
      </c>
      <c r="I193" t="str">
        <f t="shared" si="4"/>
        <v>March</v>
      </c>
      <c r="J193" t="str">
        <f t="shared" si="5"/>
        <v>SP500</v>
      </c>
    </row>
    <row r="194" spans="1:10" x14ac:dyDescent="0.3">
      <c r="A194" s="1">
        <v>44285</v>
      </c>
      <c r="B194" t="s">
        <v>24</v>
      </c>
      <c r="C194" t="s">
        <v>22</v>
      </c>
      <c r="D194" s="5">
        <v>3963.34</v>
      </c>
      <c r="E194" s="6">
        <v>3968.01</v>
      </c>
      <c r="F194" s="6">
        <v>3944.35</v>
      </c>
      <c r="G194" s="6">
        <v>3958.55</v>
      </c>
      <c r="H194" s="9">
        <v>4103570000</v>
      </c>
      <c r="I194" t="str">
        <f t="shared" ref="I194:I257" si="6">TRIM(B194)</f>
        <v>March</v>
      </c>
      <c r="J194" t="str">
        <f t="shared" ref="J194:J257" si="7">TRIM(C194)</f>
        <v>SP500</v>
      </c>
    </row>
    <row r="195" spans="1:10" x14ac:dyDescent="0.3">
      <c r="A195" s="1">
        <v>44284</v>
      </c>
      <c r="B195" t="s">
        <v>24</v>
      </c>
      <c r="C195" t="s">
        <v>22</v>
      </c>
      <c r="D195" s="5">
        <v>3969.31</v>
      </c>
      <c r="E195" s="6">
        <v>3981.83</v>
      </c>
      <c r="F195" s="6">
        <v>3943.25</v>
      </c>
      <c r="G195" s="6">
        <v>3971.09</v>
      </c>
      <c r="H195" s="9">
        <v>4619840000</v>
      </c>
      <c r="I195" t="str">
        <f t="shared" si="6"/>
        <v>March</v>
      </c>
      <c r="J195" t="str">
        <f t="shared" si="7"/>
        <v>SP500</v>
      </c>
    </row>
    <row r="196" spans="1:10" x14ac:dyDescent="0.3">
      <c r="A196" s="1">
        <v>44281</v>
      </c>
      <c r="B196" t="s">
        <v>24</v>
      </c>
      <c r="C196" t="s">
        <v>22</v>
      </c>
      <c r="D196" s="5">
        <v>3917.12</v>
      </c>
      <c r="E196" s="6">
        <v>3978.19</v>
      </c>
      <c r="F196" s="6">
        <v>3917.12</v>
      </c>
      <c r="G196" s="6">
        <v>3974.54</v>
      </c>
      <c r="H196" s="9">
        <v>5467850000</v>
      </c>
      <c r="I196" t="str">
        <f t="shared" si="6"/>
        <v>March</v>
      </c>
      <c r="J196" t="str">
        <f t="shared" si="7"/>
        <v>SP500</v>
      </c>
    </row>
    <row r="197" spans="1:10" x14ac:dyDescent="0.3">
      <c r="A197" s="1">
        <v>44280</v>
      </c>
      <c r="B197" t="s">
        <v>24</v>
      </c>
      <c r="C197" t="s">
        <v>22</v>
      </c>
      <c r="D197" s="5">
        <v>3879.34</v>
      </c>
      <c r="E197" s="6">
        <v>3919.54</v>
      </c>
      <c r="F197" s="6">
        <v>3853.5</v>
      </c>
      <c r="G197" s="6">
        <v>3909.52</v>
      </c>
      <c r="H197" s="9">
        <v>4940800000</v>
      </c>
      <c r="I197" t="str">
        <f t="shared" si="6"/>
        <v>March</v>
      </c>
      <c r="J197" t="str">
        <f t="shared" si="7"/>
        <v>SP500</v>
      </c>
    </row>
    <row r="198" spans="1:10" x14ac:dyDescent="0.3">
      <c r="A198" s="1">
        <v>44279</v>
      </c>
      <c r="B198" t="s">
        <v>24</v>
      </c>
      <c r="C198" t="s">
        <v>22</v>
      </c>
      <c r="D198" s="5">
        <v>3919.93</v>
      </c>
      <c r="E198" s="6">
        <v>3942.08</v>
      </c>
      <c r="F198" s="6">
        <v>3889.07</v>
      </c>
      <c r="G198" s="6">
        <v>3889.14</v>
      </c>
      <c r="H198" s="9">
        <v>4766990000</v>
      </c>
      <c r="I198" t="str">
        <f t="shared" si="6"/>
        <v>March</v>
      </c>
      <c r="J198" t="str">
        <f t="shared" si="7"/>
        <v>SP500</v>
      </c>
    </row>
    <row r="199" spans="1:10" x14ac:dyDescent="0.3">
      <c r="A199" s="1">
        <v>44278</v>
      </c>
      <c r="B199" t="s">
        <v>24</v>
      </c>
      <c r="C199" t="s">
        <v>22</v>
      </c>
      <c r="D199" s="5">
        <v>3937.6</v>
      </c>
      <c r="E199" s="6">
        <v>3949.13</v>
      </c>
      <c r="F199" s="6">
        <v>3901.57</v>
      </c>
      <c r="G199" s="6">
        <v>3910.52</v>
      </c>
      <c r="H199" s="9">
        <v>4645340000</v>
      </c>
      <c r="I199" t="str">
        <f t="shared" si="6"/>
        <v>March</v>
      </c>
      <c r="J199" t="str">
        <f t="shared" si="7"/>
        <v>SP500</v>
      </c>
    </row>
    <row r="200" spans="1:10" x14ac:dyDescent="0.3">
      <c r="A200" s="1">
        <v>44277</v>
      </c>
      <c r="B200" t="s">
        <v>24</v>
      </c>
      <c r="C200" t="s">
        <v>22</v>
      </c>
      <c r="D200" s="5">
        <v>3916.48</v>
      </c>
      <c r="E200" s="6">
        <v>3955.31</v>
      </c>
      <c r="F200" s="6">
        <v>3914.16</v>
      </c>
      <c r="G200" s="6">
        <v>3940.59</v>
      </c>
      <c r="H200" s="9">
        <v>4311380000</v>
      </c>
      <c r="I200" t="str">
        <f t="shared" si="6"/>
        <v>March</v>
      </c>
      <c r="J200" t="str">
        <f t="shared" si="7"/>
        <v>SP500</v>
      </c>
    </row>
    <row r="201" spans="1:10" x14ac:dyDescent="0.3">
      <c r="A201" s="1">
        <v>44274</v>
      </c>
      <c r="B201" t="s">
        <v>24</v>
      </c>
      <c r="C201" t="s">
        <v>22</v>
      </c>
      <c r="D201" s="5">
        <v>3913.14</v>
      </c>
      <c r="E201" s="6">
        <v>3930.12</v>
      </c>
      <c r="F201" s="6">
        <v>3886.75</v>
      </c>
      <c r="G201" s="6">
        <v>3913.1</v>
      </c>
      <c r="H201" s="9">
        <v>7725050000</v>
      </c>
      <c r="I201" t="str">
        <f t="shared" si="6"/>
        <v>March</v>
      </c>
      <c r="J201" t="str">
        <f t="shared" si="7"/>
        <v>SP500</v>
      </c>
    </row>
    <row r="202" spans="1:10" x14ac:dyDescent="0.3">
      <c r="A202" s="1">
        <v>44273</v>
      </c>
      <c r="B202" t="s">
        <v>24</v>
      </c>
      <c r="C202" t="s">
        <v>22</v>
      </c>
      <c r="D202" s="5">
        <v>3953.5</v>
      </c>
      <c r="E202" s="6">
        <v>3969.62</v>
      </c>
      <c r="F202" s="6">
        <v>3910.86</v>
      </c>
      <c r="G202" s="6">
        <v>3915.46</v>
      </c>
      <c r="H202" s="9">
        <v>4043170000</v>
      </c>
      <c r="I202" t="str">
        <f t="shared" si="6"/>
        <v>March</v>
      </c>
      <c r="J202" t="str">
        <f t="shared" si="7"/>
        <v>SP500</v>
      </c>
    </row>
    <row r="203" spans="1:10" x14ac:dyDescent="0.3">
      <c r="A203" s="1">
        <v>44272</v>
      </c>
      <c r="B203" t="s">
        <v>24</v>
      </c>
      <c r="C203" t="s">
        <v>22</v>
      </c>
      <c r="D203" s="5">
        <v>3949.57</v>
      </c>
      <c r="E203" s="6">
        <v>3983.87</v>
      </c>
      <c r="F203" s="6">
        <v>3935.74</v>
      </c>
      <c r="G203" s="6">
        <v>3974.12</v>
      </c>
      <c r="H203" s="9">
        <v>4541620000</v>
      </c>
      <c r="I203" t="str">
        <f t="shared" si="6"/>
        <v>March</v>
      </c>
      <c r="J203" t="str">
        <f t="shared" si="7"/>
        <v>SP500</v>
      </c>
    </row>
    <row r="204" spans="1:10" x14ac:dyDescent="0.3">
      <c r="A204" s="1">
        <v>44271</v>
      </c>
      <c r="B204" t="s">
        <v>24</v>
      </c>
      <c r="C204" t="s">
        <v>22</v>
      </c>
      <c r="D204" s="5">
        <v>3973.59</v>
      </c>
      <c r="E204" s="6">
        <v>3981.04</v>
      </c>
      <c r="F204" s="6">
        <v>3953.44</v>
      </c>
      <c r="G204" s="6">
        <v>3962.71</v>
      </c>
      <c r="H204" s="9">
        <v>4604870000</v>
      </c>
      <c r="I204" t="str">
        <f t="shared" si="6"/>
        <v>March</v>
      </c>
      <c r="J204" t="str">
        <f t="shared" si="7"/>
        <v>SP500</v>
      </c>
    </row>
    <row r="205" spans="1:10" x14ac:dyDescent="0.3">
      <c r="A205" s="1">
        <v>44270</v>
      </c>
      <c r="B205" t="s">
        <v>24</v>
      </c>
      <c r="C205" t="s">
        <v>22</v>
      </c>
      <c r="D205" s="5">
        <v>3942.96</v>
      </c>
      <c r="E205" s="6">
        <v>3970.08</v>
      </c>
      <c r="F205" s="6">
        <v>3923.54</v>
      </c>
      <c r="G205" s="6">
        <v>3968.94</v>
      </c>
      <c r="H205" s="9">
        <v>4882190000</v>
      </c>
      <c r="I205" t="str">
        <f t="shared" si="6"/>
        <v>March</v>
      </c>
      <c r="J205" t="str">
        <f t="shared" si="7"/>
        <v>SP500</v>
      </c>
    </row>
    <row r="206" spans="1:10" x14ac:dyDescent="0.3">
      <c r="A206" s="1">
        <v>44267</v>
      </c>
      <c r="B206" t="s">
        <v>24</v>
      </c>
      <c r="C206" t="s">
        <v>22</v>
      </c>
      <c r="D206" s="5">
        <v>3924.52</v>
      </c>
      <c r="E206" s="6">
        <v>3944.99</v>
      </c>
      <c r="F206" s="6">
        <v>3915.21</v>
      </c>
      <c r="G206" s="6">
        <v>3943.34</v>
      </c>
      <c r="H206" s="9">
        <v>4469240000</v>
      </c>
      <c r="I206" t="str">
        <f t="shared" si="6"/>
        <v>March</v>
      </c>
      <c r="J206" t="str">
        <f t="shared" si="7"/>
        <v>SP500</v>
      </c>
    </row>
    <row r="207" spans="1:10" x14ac:dyDescent="0.3">
      <c r="A207" s="1">
        <v>44266</v>
      </c>
      <c r="B207" t="s">
        <v>24</v>
      </c>
      <c r="C207" t="s">
        <v>22</v>
      </c>
      <c r="D207" s="5">
        <v>3915.54</v>
      </c>
      <c r="E207" s="6">
        <v>3960.27</v>
      </c>
      <c r="F207" s="6">
        <v>3915.54</v>
      </c>
      <c r="G207" s="6">
        <v>3939.34</v>
      </c>
      <c r="H207" s="9">
        <v>5300010000</v>
      </c>
      <c r="I207" t="str">
        <f t="shared" si="6"/>
        <v>March</v>
      </c>
      <c r="J207" t="str">
        <f t="shared" si="7"/>
        <v>SP500</v>
      </c>
    </row>
    <row r="208" spans="1:10" x14ac:dyDescent="0.3">
      <c r="A208" s="1">
        <v>44265</v>
      </c>
      <c r="B208" t="s">
        <v>24</v>
      </c>
      <c r="C208" t="s">
        <v>22</v>
      </c>
      <c r="D208" s="5">
        <v>3891.99</v>
      </c>
      <c r="E208" s="6">
        <v>3917.35</v>
      </c>
      <c r="F208" s="6">
        <v>3885.73</v>
      </c>
      <c r="G208" s="6">
        <v>3898.81</v>
      </c>
      <c r="H208" s="9">
        <v>5827250000</v>
      </c>
      <c r="I208" t="str">
        <f t="shared" si="6"/>
        <v>March</v>
      </c>
      <c r="J208" t="str">
        <f t="shared" si="7"/>
        <v>SP500</v>
      </c>
    </row>
    <row r="209" spans="1:10" x14ac:dyDescent="0.3">
      <c r="A209" s="1">
        <v>44264</v>
      </c>
      <c r="B209" t="s">
        <v>24</v>
      </c>
      <c r="C209" t="s">
        <v>22</v>
      </c>
      <c r="D209" s="5">
        <v>3851.93</v>
      </c>
      <c r="E209" s="6">
        <v>3903.76</v>
      </c>
      <c r="F209" s="6">
        <v>3851.93</v>
      </c>
      <c r="G209" s="6">
        <v>3875.44</v>
      </c>
      <c r="H209" s="9">
        <v>5496340000</v>
      </c>
      <c r="I209" t="str">
        <f t="shared" si="6"/>
        <v>March</v>
      </c>
      <c r="J209" t="str">
        <f t="shared" si="7"/>
        <v>SP500</v>
      </c>
    </row>
    <row r="210" spans="1:10" x14ac:dyDescent="0.3">
      <c r="A210" s="1">
        <v>44263</v>
      </c>
      <c r="B210" t="s">
        <v>24</v>
      </c>
      <c r="C210" t="s">
        <v>22</v>
      </c>
      <c r="D210" s="5">
        <v>3844.39</v>
      </c>
      <c r="E210" s="6">
        <v>3881.06</v>
      </c>
      <c r="F210" s="6">
        <v>3819.25</v>
      </c>
      <c r="G210" s="6">
        <v>3821.35</v>
      </c>
      <c r="H210" s="9">
        <v>5852240000</v>
      </c>
      <c r="I210" t="str">
        <f t="shared" si="6"/>
        <v>March</v>
      </c>
      <c r="J210" t="str">
        <f t="shared" si="7"/>
        <v>SP500</v>
      </c>
    </row>
    <row r="211" spans="1:10" x14ac:dyDescent="0.3">
      <c r="A211" s="1">
        <v>44260</v>
      </c>
      <c r="B211" t="s">
        <v>24</v>
      </c>
      <c r="C211" t="s">
        <v>22</v>
      </c>
      <c r="D211" s="5">
        <v>3793.58</v>
      </c>
      <c r="E211" s="6">
        <v>3851.69</v>
      </c>
      <c r="F211" s="6">
        <v>3730.19</v>
      </c>
      <c r="G211" s="6">
        <v>3841.94</v>
      </c>
      <c r="H211" s="9">
        <v>6842570000</v>
      </c>
      <c r="I211" t="str">
        <f t="shared" si="6"/>
        <v>March</v>
      </c>
      <c r="J211" t="str">
        <f t="shared" si="7"/>
        <v>SP500</v>
      </c>
    </row>
    <row r="212" spans="1:10" x14ac:dyDescent="0.3">
      <c r="A212" s="1">
        <v>44259</v>
      </c>
      <c r="B212" t="s">
        <v>24</v>
      </c>
      <c r="C212" t="s">
        <v>22</v>
      </c>
      <c r="D212" s="5">
        <v>3818.53</v>
      </c>
      <c r="E212" s="6">
        <v>3843.67</v>
      </c>
      <c r="F212" s="6">
        <v>3723.34</v>
      </c>
      <c r="G212" s="6">
        <v>3768.47</v>
      </c>
      <c r="H212" s="9">
        <v>7142240000</v>
      </c>
      <c r="I212" t="str">
        <f t="shared" si="6"/>
        <v>March</v>
      </c>
      <c r="J212" t="str">
        <f t="shared" si="7"/>
        <v>SP500</v>
      </c>
    </row>
    <row r="213" spans="1:10" x14ac:dyDescent="0.3">
      <c r="A213" s="1">
        <v>44258</v>
      </c>
      <c r="B213" t="s">
        <v>24</v>
      </c>
      <c r="C213" t="s">
        <v>22</v>
      </c>
      <c r="D213" s="5">
        <v>3863.99</v>
      </c>
      <c r="E213" s="6">
        <v>3874.47</v>
      </c>
      <c r="F213" s="6">
        <v>3818.86</v>
      </c>
      <c r="G213" s="6">
        <v>3819.72</v>
      </c>
      <c r="H213" s="9">
        <v>6150790000</v>
      </c>
      <c r="I213" t="str">
        <f t="shared" si="6"/>
        <v>March</v>
      </c>
      <c r="J213" t="str">
        <f t="shared" si="7"/>
        <v>SP500</v>
      </c>
    </row>
    <row r="214" spans="1:10" x14ac:dyDescent="0.3">
      <c r="A214" s="1">
        <v>44257</v>
      </c>
      <c r="B214" t="s">
        <v>24</v>
      </c>
      <c r="C214" t="s">
        <v>22</v>
      </c>
      <c r="D214" s="5">
        <v>3903.64</v>
      </c>
      <c r="E214" s="6">
        <v>3906.41</v>
      </c>
      <c r="F214" s="6">
        <v>3868.57</v>
      </c>
      <c r="G214" s="6">
        <v>3870.29</v>
      </c>
      <c r="H214" s="9">
        <v>5493690000</v>
      </c>
      <c r="I214" t="str">
        <f t="shared" si="6"/>
        <v>March</v>
      </c>
      <c r="J214" t="str">
        <f t="shared" si="7"/>
        <v>SP500</v>
      </c>
    </row>
    <row r="215" spans="1:10" x14ac:dyDescent="0.3">
      <c r="A215" s="1">
        <v>44256</v>
      </c>
      <c r="B215" t="s">
        <v>24</v>
      </c>
      <c r="C215" t="s">
        <v>22</v>
      </c>
      <c r="D215" s="5">
        <v>3842.51</v>
      </c>
      <c r="E215" s="6">
        <v>3914.5</v>
      </c>
      <c r="F215" s="6">
        <v>3842.51</v>
      </c>
      <c r="G215" s="6">
        <v>3901.82</v>
      </c>
      <c r="H215" s="9">
        <v>5071540000</v>
      </c>
      <c r="I215" t="str">
        <f t="shared" si="6"/>
        <v>March</v>
      </c>
      <c r="J215" t="str">
        <f t="shared" si="7"/>
        <v>SP500</v>
      </c>
    </row>
    <row r="216" spans="1:10" x14ac:dyDescent="0.3">
      <c r="A216" s="1">
        <v>44253</v>
      </c>
      <c r="B216" t="s">
        <v>23</v>
      </c>
      <c r="C216" t="s">
        <v>22</v>
      </c>
      <c r="D216" s="5">
        <v>3839.66</v>
      </c>
      <c r="E216" s="6">
        <v>3861.08</v>
      </c>
      <c r="F216" s="6">
        <v>3789.54</v>
      </c>
      <c r="G216" s="6">
        <v>3811.15</v>
      </c>
      <c r="H216" s="9">
        <v>6512950000</v>
      </c>
      <c r="I216" t="str">
        <f t="shared" si="6"/>
        <v>February</v>
      </c>
      <c r="J216" t="str">
        <f t="shared" si="7"/>
        <v>SP500</v>
      </c>
    </row>
    <row r="217" spans="1:10" x14ac:dyDescent="0.3">
      <c r="A217" s="1">
        <v>44252</v>
      </c>
      <c r="B217" t="s">
        <v>23</v>
      </c>
      <c r="C217" t="s">
        <v>22</v>
      </c>
      <c r="D217" s="5">
        <v>3915.8</v>
      </c>
      <c r="E217" s="6">
        <v>3925.02</v>
      </c>
      <c r="F217" s="6">
        <v>3814.04</v>
      </c>
      <c r="G217" s="6">
        <v>3829.34</v>
      </c>
      <c r="H217" s="9">
        <v>6513060000</v>
      </c>
      <c r="I217" t="str">
        <f t="shared" si="6"/>
        <v>February</v>
      </c>
      <c r="J217" t="str">
        <f t="shared" si="7"/>
        <v>SP500</v>
      </c>
    </row>
    <row r="218" spans="1:10" x14ac:dyDescent="0.3">
      <c r="A218" s="1">
        <v>44251</v>
      </c>
      <c r="B218" t="s">
        <v>23</v>
      </c>
      <c r="C218" t="s">
        <v>22</v>
      </c>
      <c r="D218" s="5">
        <v>3873.71</v>
      </c>
      <c r="E218" s="6">
        <v>3928.65</v>
      </c>
      <c r="F218" s="6">
        <v>3859.6</v>
      </c>
      <c r="G218" s="6">
        <v>3925.43</v>
      </c>
      <c r="H218" s="9">
        <v>5942350000</v>
      </c>
      <c r="I218" t="str">
        <f t="shared" si="6"/>
        <v>February</v>
      </c>
      <c r="J218" t="str">
        <f t="shared" si="7"/>
        <v>SP500</v>
      </c>
    </row>
    <row r="219" spans="1:10" x14ac:dyDescent="0.3">
      <c r="A219" s="1">
        <v>44250</v>
      </c>
      <c r="B219" t="s">
        <v>23</v>
      </c>
      <c r="C219" t="s">
        <v>22</v>
      </c>
      <c r="D219" s="5">
        <v>3857.07</v>
      </c>
      <c r="E219" s="6">
        <v>3895.98</v>
      </c>
      <c r="F219" s="6">
        <v>3805.59</v>
      </c>
      <c r="G219" s="6">
        <v>3881.37</v>
      </c>
      <c r="H219" s="9">
        <v>6280650000</v>
      </c>
      <c r="I219" t="str">
        <f t="shared" si="6"/>
        <v>February</v>
      </c>
      <c r="J219" t="str">
        <f t="shared" si="7"/>
        <v>SP500</v>
      </c>
    </row>
    <row r="220" spans="1:10" x14ac:dyDescent="0.3">
      <c r="A220" s="1">
        <v>44249</v>
      </c>
      <c r="B220" t="s">
        <v>23</v>
      </c>
      <c r="C220" t="s">
        <v>22</v>
      </c>
      <c r="D220" s="5">
        <v>3885.55</v>
      </c>
      <c r="E220" s="6">
        <v>3902.92</v>
      </c>
      <c r="F220" s="6">
        <v>3874.71</v>
      </c>
      <c r="G220" s="6">
        <v>3876.5</v>
      </c>
      <c r="H220" s="9">
        <v>5870190000</v>
      </c>
      <c r="I220" t="str">
        <f t="shared" si="6"/>
        <v>February</v>
      </c>
      <c r="J220" t="str">
        <f t="shared" si="7"/>
        <v>SP500</v>
      </c>
    </row>
    <row r="221" spans="1:10" x14ac:dyDescent="0.3">
      <c r="A221" s="1">
        <v>44246</v>
      </c>
      <c r="B221" t="s">
        <v>23</v>
      </c>
      <c r="C221" t="s">
        <v>22</v>
      </c>
      <c r="D221" s="5">
        <v>3921.16</v>
      </c>
      <c r="E221" s="6">
        <v>3930.41</v>
      </c>
      <c r="F221" s="6">
        <v>3903.07</v>
      </c>
      <c r="G221" s="6">
        <v>3906.71</v>
      </c>
      <c r="H221" s="9">
        <v>4823940000</v>
      </c>
      <c r="I221" t="str">
        <f t="shared" si="6"/>
        <v>February</v>
      </c>
      <c r="J221" t="str">
        <f t="shared" si="7"/>
        <v>SP500</v>
      </c>
    </row>
    <row r="222" spans="1:10" x14ac:dyDescent="0.3">
      <c r="A222" s="1">
        <v>44245</v>
      </c>
      <c r="B222" t="s">
        <v>23</v>
      </c>
      <c r="C222" t="s">
        <v>22</v>
      </c>
      <c r="D222" s="5">
        <v>3915.86</v>
      </c>
      <c r="E222" s="6">
        <v>3921.98</v>
      </c>
      <c r="F222" s="6">
        <v>3885.03</v>
      </c>
      <c r="G222" s="6">
        <v>3913.97</v>
      </c>
      <c r="H222" s="9">
        <v>4773430000</v>
      </c>
      <c r="I222" t="str">
        <f t="shared" si="6"/>
        <v>February</v>
      </c>
      <c r="J222" t="str">
        <f t="shared" si="7"/>
        <v>SP500</v>
      </c>
    </row>
    <row r="223" spans="1:10" x14ac:dyDescent="0.3">
      <c r="A223" s="1">
        <v>44244</v>
      </c>
      <c r="B223" t="s">
        <v>23</v>
      </c>
      <c r="C223" t="s">
        <v>22</v>
      </c>
      <c r="D223" s="5">
        <v>3918.5</v>
      </c>
      <c r="E223" s="6">
        <v>3933.61</v>
      </c>
      <c r="F223" s="6">
        <v>3900.43</v>
      </c>
      <c r="G223" s="6">
        <v>3931.33</v>
      </c>
      <c r="H223" s="9">
        <v>4718280000</v>
      </c>
      <c r="I223" t="str">
        <f t="shared" si="6"/>
        <v>February</v>
      </c>
      <c r="J223" t="str">
        <f t="shared" si="7"/>
        <v>SP500</v>
      </c>
    </row>
    <row r="224" spans="1:10" x14ac:dyDescent="0.3">
      <c r="A224" s="1">
        <v>44243</v>
      </c>
      <c r="B224" t="s">
        <v>23</v>
      </c>
      <c r="C224" t="s">
        <v>22</v>
      </c>
      <c r="D224" s="5">
        <v>3939.61</v>
      </c>
      <c r="E224" s="6">
        <v>3950.43</v>
      </c>
      <c r="F224" s="6">
        <v>3923.85</v>
      </c>
      <c r="G224" s="6">
        <v>3932.59</v>
      </c>
      <c r="H224" s="9">
        <v>5037360000</v>
      </c>
      <c r="I224" t="str">
        <f t="shared" si="6"/>
        <v>February</v>
      </c>
      <c r="J224" t="str">
        <f t="shared" si="7"/>
        <v>SP500</v>
      </c>
    </row>
    <row r="225" spans="1:10" x14ac:dyDescent="0.3">
      <c r="A225" s="1">
        <v>44239</v>
      </c>
      <c r="B225" t="s">
        <v>23</v>
      </c>
      <c r="C225" t="s">
        <v>22</v>
      </c>
      <c r="D225" s="5">
        <v>3911.65</v>
      </c>
      <c r="E225" s="6">
        <v>3937.23</v>
      </c>
      <c r="F225" s="6">
        <v>3905.78</v>
      </c>
      <c r="G225" s="6">
        <v>3934.83</v>
      </c>
      <c r="H225" s="9">
        <v>4119260000</v>
      </c>
      <c r="I225" t="str">
        <f t="shared" si="6"/>
        <v>February</v>
      </c>
      <c r="J225" t="str">
        <f t="shared" si="7"/>
        <v>SP500</v>
      </c>
    </row>
    <row r="226" spans="1:10" x14ac:dyDescent="0.3">
      <c r="A226" s="1">
        <v>44238</v>
      </c>
      <c r="B226" t="s">
        <v>23</v>
      </c>
      <c r="C226" t="s">
        <v>22</v>
      </c>
      <c r="D226" s="5">
        <v>3916.4</v>
      </c>
      <c r="E226" s="6">
        <v>3925.99</v>
      </c>
      <c r="F226" s="6">
        <v>3890.39</v>
      </c>
      <c r="G226" s="6">
        <v>3916.38</v>
      </c>
      <c r="H226" s="9">
        <v>4570080000</v>
      </c>
      <c r="I226" t="str">
        <f t="shared" si="6"/>
        <v>February</v>
      </c>
      <c r="J226" t="str">
        <f t="shared" si="7"/>
        <v>SP500</v>
      </c>
    </row>
    <row r="227" spans="1:10" x14ac:dyDescent="0.3">
      <c r="A227" s="1">
        <v>44237</v>
      </c>
      <c r="B227" t="s">
        <v>23</v>
      </c>
      <c r="C227" t="s">
        <v>22</v>
      </c>
      <c r="D227" s="5">
        <v>3920.78</v>
      </c>
      <c r="E227" s="6">
        <v>3931.5</v>
      </c>
      <c r="F227" s="6">
        <v>3884.94</v>
      </c>
      <c r="G227" s="6">
        <v>3909.88</v>
      </c>
      <c r="H227" s="9">
        <v>4815380000</v>
      </c>
      <c r="I227" t="str">
        <f t="shared" si="6"/>
        <v>February</v>
      </c>
      <c r="J227" t="str">
        <f t="shared" si="7"/>
        <v>SP500</v>
      </c>
    </row>
    <row r="228" spans="1:10" x14ac:dyDescent="0.3">
      <c r="A228" s="1">
        <v>44236</v>
      </c>
      <c r="B228" t="s">
        <v>23</v>
      </c>
      <c r="C228" t="s">
        <v>22</v>
      </c>
      <c r="D228" s="5">
        <v>3910.49</v>
      </c>
      <c r="E228" s="6">
        <v>3918.35</v>
      </c>
      <c r="F228" s="6">
        <v>3902.64</v>
      </c>
      <c r="G228" s="6">
        <v>3911.23</v>
      </c>
      <c r="H228" s="9">
        <v>4554610000</v>
      </c>
      <c r="I228" t="str">
        <f t="shared" si="6"/>
        <v>February</v>
      </c>
      <c r="J228" t="str">
        <f t="shared" si="7"/>
        <v>SP500</v>
      </c>
    </row>
    <row r="229" spans="1:10" x14ac:dyDescent="0.3">
      <c r="A229" s="1">
        <v>44235</v>
      </c>
      <c r="B229" t="s">
        <v>23</v>
      </c>
      <c r="C229" t="s">
        <v>22</v>
      </c>
      <c r="D229" s="5">
        <v>3892.59</v>
      </c>
      <c r="E229" s="6">
        <v>3915.77</v>
      </c>
      <c r="F229" s="6">
        <v>3892.59</v>
      </c>
      <c r="G229" s="6">
        <v>3915.59</v>
      </c>
      <c r="H229" s="9">
        <v>4635030000</v>
      </c>
      <c r="I229" t="str">
        <f t="shared" si="6"/>
        <v>February</v>
      </c>
      <c r="J229" t="str">
        <f t="shared" si="7"/>
        <v>SP500</v>
      </c>
    </row>
    <row r="230" spans="1:10" x14ac:dyDescent="0.3">
      <c r="A230" s="1">
        <v>44232</v>
      </c>
      <c r="B230" t="s">
        <v>23</v>
      </c>
      <c r="C230" t="s">
        <v>22</v>
      </c>
      <c r="D230" s="5">
        <v>3878.3</v>
      </c>
      <c r="E230" s="6">
        <v>3894.56</v>
      </c>
      <c r="F230" s="6">
        <v>3874.93</v>
      </c>
      <c r="G230" s="6">
        <v>3886.83</v>
      </c>
      <c r="H230" s="9">
        <v>4838580000</v>
      </c>
      <c r="I230" t="str">
        <f t="shared" si="6"/>
        <v>February</v>
      </c>
      <c r="J230" t="str">
        <f t="shared" si="7"/>
        <v>SP500</v>
      </c>
    </row>
    <row r="231" spans="1:10" x14ac:dyDescent="0.3">
      <c r="A231" s="1">
        <v>44231</v>
      </c>
      <c r="B231" t="s">
        <v>23</v>
      </c>
      <c r="C231" t="s">
        <v>22</v>
      </c>
      <c r="D231" s="5">
        <v>3836.66</v>
      </c>
      <c r="E231" s="6">
        <v>3872.42</v>
      </c>
      <c r="F231" s="6">
        <v>3836.66</v>
      </c>
      <c r="G231" s="6">
        <v>3871.74</v>
      </c>
      <c r="H231" s="9">
        <v>4856670000</v>
      </c>
      <c r="I231" t="str">
        <f t="shared" si="6"/>
        <v>February</v>
      </c>
      <c r="J231" t="str">
        <f t="shared" si="7"/>
        <v>SP500</v>
      </c>
    </row>
    <row r="232" spans="1:10" x14ac:dyDescent="0.3">
      <c r="A232" s="1">
        <v>44230</v>
      </c>
      <c r="B232" t="s">
        <v>23</v>
      </c>
      <c r="C232" t="s">
        <v>22</v>
      </c>
      <c r="D232" s="5">
        <v>3840.27</v>
      </c>
      <c r="E232" s="6">
        <v>3847.51</v>
      </c>
      <c r="F232" s="6">
        <v>3816.68</v>
      </c>
      <c r="G232" s="6">
        <v>3830.17</v>
      </c>
      <c r="H232" s="9">
        <v>4846900000</v>
      </c>
      <c r="I232" t="str">
        <f t="shared" si="6"/>
        <v>February</v>
      </c>
      <c r="J232" t="str">
        <f t="shared" si="7"/>
        <v>SP500</v>
      </c>
    </row>
    <row r="233" spans="1:10" x14ac:dyDescent="0.3">
      <c r="A233" s="1">
        <v>44229</v>
      </c>
      <c r="B233" t="s">
        <v>23</v>
      </c>
      <c r="C233" t="s">
        <v>22</v>
      </c>
      <c r="D233" s="5">
        <v>3791.84</v>
      </c>
      <c r="E233" s="6">
        <v>3843.09</v>
      </c>
      <c r="F233" s="6">
        <v>3791.84</v>
      </c>
      <c r="G233" s="6">
        <v>3826.31</v>
      </c>
      <c r="H233" s="9">
        <v>5495370000</v>
      </c>
      <c r="I233" t="str">
        <f t="shared" si="6"/>
        <v>February</v>
      </c>
      <c r="J233" t="str">
        <f t="shared" si="7"/>
        <v>SP500</v>
      </c>
    </row>
    <row r="234" spans="1:10" x14ac:dyDescent="0.3">
      <c r="A234" s="1">
        <v>44228</v>
      </c>
      <c r="B234" t="s">
        <v>23</v>
      </c>
      <c r="C234" t="s">
        <v>22</v>
      </c>
      <c r="D234" s="5">
        <v>3731.17</v>
      </c>
      <c r="E234" s="6">
        <v>3784.32</v>
      </c>
      <c r="F234" s="6">
        <v>3725.62</v>
      </c>
      <c r="G234" s="6">
        <v>3773.86</v>
      </c>
      <c r="H234" s="9">
        <v>5392870000</v>
      </c>
      <c r="I234" t="str">
        <f t="shared" si="6"/>
        <v>February</v>
      </c>
      <c r="J234" t="str">
        <f t="shared" si="7"/>
        <v>SP500</v>
      </c>
    </row>
    <row r="235" spans="1:10" x14ac:dyDescent="0.3">
      <c r="A235" s="1">
        <v>44225</v>
      </c>
      <c r="B235" t="s">
        <v>21</v>
      </c>
      <c r="C235" t="s">
        <v>22</v>
      </c>
      <c r="D235" s="5">
        <v>3778.05</v>
      </c>
      <c r="E235" s="6">
        <v>3778.05</v>
      </c>
      <c r="F235" s="6">
        <v>3694.12</v>
      </c>
      <c r="G235" s="6">
        <v>3714.24</v>
      </c>
      <c r="H235" s="9">
        <v>6612570000</v>
      </c>
      <c r="I235" t="str">
        <f t="shared" si="6"/>
        <v>January</v>
      </c>
      <c r="J235" t="str">
        <f t="shared" si="7"/>
        <v>SP500</v>
      </c>
    </row>
    <row r="236" spans="1:10" x14ac:dyDescent="0.3">
      <c r="A236" s="1">
        <v>44224</v>
      </c>
      <c r="B236" t="s">
        <v>21</v>
      </c>
      <c r="C236" t="s">
        <v>22</v>
      </c>
      <c r="D236" s="5">
        <v>3755.75</v>
      </c>
      <c r="E236" s="6">
        <v>3830.5</v>
      </c>
      <c r="F236" s="6">
        <v>3755.75</v>
      </c>
      <c r="G236" s="6">
        <v>3787.38</v>
      </c>
      <c r="H236" s="9">
        <v>6937960000</v>
      </c>
      <c r="I236" t="str">
        <f t="shared" si="6"/>
        <v>January</v>
      </c>
      <c r="J236" t="str">
        <f t="shared" si="7"/>
        <v>SP500</v>
      </c>
    </row>
    <row r="237" spans="1:10" x14ac:dyDescent="0.3">
      <c r="A237" s="1">
        <v>44223</v>
      </c>
      <c r="B237" t="s">
        <v>21</v>
      </c>
      <c r="C237" t="s">
        <v>22</v>
      </c>
      <c r="D237" s="5">
        <v>3836.83</v>
      </c>
      <c r="E237" s="6">
        <v>3836.83</v>
      </c>
      <c r="F237" s="6">
        <v>3732.48</v>
      </c>
      <c r="G237" s="6">
        <v>3750.77</v>
      </c>
      <c r="H237" s="9">
        <v>9878040000</v>
      </c>
      <c r="I237" t="str">
        <f t="shared" si="6"/>
        <v>January</v>
      </c>
      <c r="J237" t="str">
        <f t="shared" si="7"/>
        <v>SP500</v>
      </c>
    </row>
    <row r="238" spans="1:10" x14ac:dyDescent="0.3">
      <c r="A238" s="1">
        <v>44222</v>
      </c>
      <c r="B238" t="s">
        <v>21</v>
      </c>
      <c r="C238" t="s">
        <v>22</v>
      </c>
      <c r="D238" s="5">
        <v>3862.96</v>
      </c>
      <c r="E238" s="6">
        <v>3870.9</v>
      </c>
      <c r="F238" s="6">
        <v>3847.78</v>
      </c>
      <c r="G238" s="6">
        <v>3849.62</v>
      </c>
      <c r="H238" s="9">
        <v>6029090000</v>
      </c>
      <c r="I238" t="str">
        <f t="shared" si="6"/>
        <v>January</v>
      </c>
      <c r="J238" t="str">
        <f t="shared" si="7"/>
        <v>SP500</v>
      </c>
    </row>
    <row r="239" spans="1:10" x14ac:dyDescent="0.3">
      <c r="A239" s="1">
        <v>44221</v>
      </c>
      <c r="B239" t="s">
        <v>21</v>
      </c>
      <c r="C239" t="s">
        <v>22</v>
      </c>
      <c r="D239" s="5">
        <v>3851.68</v>
      </c>
      <c r="E239" s="6">
        <v>3859.23</v>
      </c>
      <c r="F239" s="6">
        <v>3797.16</v>
      </c>
      <c r="G239" s="6">
        <v>3855.36</v>
      </c>
      <c r="H239" s="9">
        <v>6955860000</v>
      </c>
      <c r="I239" t="str">
        <f t="shared" si="6"/>
        <v>January</v>
      </c>
      <c r="J239" t="str">
        <f t="shared" si="7"/>
        <v>SP500</v>
      </c>
    </row>
    <row r="240" spans="1:10" x14ac:dyDescent="0.3">
      <c r="A240" s="1">
        <v>44218</v>
      </c>
      <c r="B240" t="s">
        <v>21</v>
      </c>
      <c r="C240" t="s">
        <v>22</v>
      </c>
      <c r="D240" s="5">
        <v>3844.24</v>
      </c>
      <c r="E240" s="6">
        <v>3852.31</v>
      </c>
      <c r="F240" s="6">
        <v>3830.41</v>
      </c>
      <c r="G240" s="6">
        <v>3841.47</v>
      </c>
      <c r="H240" s="9">
        <v>5080430000</v>
      </c>
      <c r="I240" t="str">
        <f t="shared" si="6"/>
        <v>January</v>
      </c>
      <c r="J240" t="str">
        <f t="shared" si="7"/>
        <v>SP500</v>
      </c>
    </row>
    <row r="241" spans="1:10" x14ac:dyDescent="0.3">
      <c r="A241" s="1">
        <v>44217</v>
      </c>
      <c r="B241" t="s">
        <v>21</v>
      </c>
      <c r="C241" t="s">
        <v>22</v>
      </c>
      <c r="D241" s="5">
        <v>3857.46</v>
      </c>
      <c r="E241" s="6">
        <v>3861.45</v>
      </c>
      <c r="F241" s="6">
        <v>3845.05</v>
      </c>
      <c r="G241" s="6">
        <v>3853.07</v>
      </c>
      <c r="H241" s="9">
        <v>4484460000</v>
      </c>
      <c r="I241" t="str">
        <f t="shared" si="6"/>
        <v>January</v>
      </c>
      <c r="J241" t="str">
        <f t="shared" si="7"/>
        <v>SP500</v>
      </c>
    </row>
    <row r="242" spans="1:10" x14ac:dyDescent="0.3">
      <c r="A242" s="1">
        <v>44216</v>
      </c>
      <c r="B242" t="s">
        <v>21</v>
      </c>
      <c r="C242" t="s">
        <v>22</v>
      </c>
      <c r="D242" s="5">
        <v>3816.22</v>
      </c>
      <c r="E242" s="6">
        <v>3859.75</v>
      </c>
      <c r="F242" s="6">
        <v>3816.22</v>
      </c>
      <c r="G242" s="6">
        <v>3851.85</v>
      </c>
      <c r="H242" s="9">
        <v>4551790000</v>
      </c>
      <c r="I242" t="str">
        <f t="shared" si="6"/>
        <v>January</v>
      </c>
      <c r="J242" t="str">
        <f t="shared" si="7"/>
        <v>SP500</v>
      </c>
    </row>
    <row r="243" spans="1:10" x14ac:dyDescent="0.3">
      <c r="A243" s="1">
        <v>44215</v>
      </c>
      <c r="B243" t="s">
        <v>21</v>
      </c>
      <c r="C243" t="s">
        <v>22</v>
      </c>
      <c r="D243" s="5">
        <v>3781.88</v>
      </c>
      <c r="E243" s="6">
        <v>3804.53</v>
      </c>
      <c r="F243" s="6">
        <v>3780.37</v>
      </c>
      <c r="G243" s="6">
        <v>3798.91</v>
      </c>
      <c r="H243" s="9">
        <v>4982940000</v>
      </c>
      <c r="I243" t="str">
        <f t="shared" si="6"/>
        <v>January</v>
      </c>
      <c r="J243" t="str">
        <f t="shared" si="7"/>
        <v>SP500</v>
      </c>
    </row>
    <row r="244" spans="1:10" x14ac:dyDescent="0.3">
      <c r="A244" s="1">
        <v>44211</v>
      </c>
      <c r="B244" t="s">
        <v>21</v>
      </c>
      <c r="C244" t="s">
        <v>22</v>
      </c>
      <c r="D244" s="5">
        <v>3788.73</v>
      </c>
      <c r="E244" s="6">
        <v>3788.73</v>
      </c>
      <c r="F244" s="6">
        <v>3749.62</v>
      </c>
      <c r="G244" s="6">
        <v>3768.25</v>
      </c>
      <c r="H244" s="9">
        <v>5353060000</v>
      </c>
      <c r="I244" t="str">
        <f t="shared" si="6"/>
        <v>January</v>
      </c>
      <c r="J244" t="str">
        <f t="shared" si="7"/>
        <v>SP500</v>
      </c>
    </row>
    <row r="245" spans="1:10" x14ac:dyDescent="0.3">
      <c r="A245" s="1">
        <v>44210</v>
      </c>
      <c r="B245" t="s">
        <v>21</v>
      </c>
      <c r="C245" t="s">
        <v>22</v>
      </c>
      <c r="D245" s="5">
        <v>3814.98</v>
      </c>
      <c r="E245" s="6">
        <v>3823.6</v>
      </c>
      <c r="F245" s="6">
        <v>3792.86</v>
      </c>
      <c r="G245" s="6">
        <v>3795.54</v>
      </c>
      <c r="H245" s="9">
        <v>5180140000</v>
      </c>
      <c r="I245" t="str">
        <f t="shared" si="6"/>
        <v>January</v>
      </c>
      <c r="J245" t="str">
        <f t="shared" si="7"/>
        <v>SP500</v>
      </c>
    </row>
    <row r="246" spans="1:10" x14ac:dyDescent="0.3">
      <c r="A246" s="1">
        <v>44209</v>
      </c>
      <c r="B246" t="s">
        <v>21</v>
      </c>
      <c r="C246" t="s">
        <v>22</v>
      </c>
      <c r="D246" s="5">
        <v>3802.23</v>
      </c>
      <c r="E246" s="6">
        <v>3820.96</v>
      </c>
      <c r="F246" s="6">
        <v>3791.5</v>
      </c>
      <c r="G246" s="6">
        <v>3809.84</v>
      </c>
      <c r="H246" s="9">
        <v>4590420000</v>
      </c>
      <c r="I246" t="str">
        <f t="shared" si="6"/>
        <v>January</v>
      </c>
      <c r="J246" t="str">
        <f t="shared" si="7"/>
        <v>SP500</v>
      </c>
    </row>
    <row r="247" spans="1:10" x14ac:dyDescent="0.3">
      <c r="A247" s="1">
        <v>44208</v>
      </c>
      <c r="B247" t="s">
        <v>21</v>
      </c>
      <c r="C247" t="s">
        <v>22</v>
      </c>
      <c r="D247" s="5">
        <v>3801.62</v>
      </c>
      <c r="E247" s="6">
        <v>3810.78</v>
      </c>
      <c r="F247" s="6">
        <v>3776.51</v>
      </c>
      <c r="G247" s="6">
        <v>3801.19</v>
      </c>
      <c r="H247" s="9">
        <v>4977210000</v>
      </c>
      <c r="I247" t="str">
        <f t="shared" si="6"/>
        <v>January</v>
      </c>
      <c r="J247" t="str">
        <f t="shared" si="7"/>
        <v>SP500</v>
      </c>
    </row>
    <row r="248" spans="1:10" x14ac:dyDescent="0.3">
      <c r="A248" s="1">
        <v>44207</v>
      </c>
      <c r="B248" t="s">
        <v>21</v>
      </c>
      <c r="C248" t="s">
        <v>22</v>
      </c>
      <c r="D248" s="5">
        <v>3803.14</v>
      </c>
      <c r="E248" s="6">
        <v>3817.86</v>
      </c>
      <c r="F248" s="6">
        <v>3789.02</v>
      </c>
      <c r="G248" s="6">
        <v>3799.61</v>
      </c>
      <c r="H248" s="9">
        <v>4450500000</v>
      </c>
      <c r="I248" t="str">
        <f t="shared" si="6"/>
        <v>January</v>
      </c>
      <c r="J248" t="str">
        <f t="shared" si="7"/>
        <v>SP500</v>
      </c>
    </row>
    <row r="249" spans="1:10" x14ac:dyDescent="0.3">
      <c r="A249" s="1">
        <v>44204</v>
      </c>
      <c r="B249" t="s">
        <v>21</v>
      </c>
      <c r="C249" t="s">
        <v>22</v>
      </c>
      <c r="D249" s="5">
        <v>3815.05</v>
      </c>
      <c r="E249" s="6">
        <v>3826.69</v>
      </c>
      <c r="F249" s="6">
        <v>3783.6</v>
      </c>
      <c r="G249" s="6">
        <v>3824.68</v>
      </c>
      <c r="H249" s="9">
        <v>4764180000</v>
      </c>
      <c r="I249" t="str">
        <f t="shared" si="6"/>
        <v>January</v>
      </c>
      <c r="J249" t="str">
        <f t="shared" si="7"/>
        <v>SP500</v>
      </c>
    </row>
    <row r="250" spans="1:10" x14ac:dyDescent="0.3">
      <c r="A250" s="1">
        <v>44203</v>
      </c>
      <c r="B250" t="s">
        <v>21</v>
      </c>
      <c r="C250" t="s">
        <v>22</v>
      </c>
      <c r="D250" s="5">
        <v>3764.71</v>
      </c>
      <c r="E250" s="6">
        <v>3811.55</v>
      </c>
      <c r="F250" s="6">
        <v>3764.71</v>
      </c>
      <c r="G250" s="6">
        <v>3803.79</v>
      </c>
      <c r="H250" s="9">
        <v>5080870000</v>
      </c>
      <c r="I250" t="str">
        <f t="shared" si="6"/>
        <v>January</v>
      </c>
      <c r="J250" t="str">
        <f t="shared" si="7"/>
        <v>SP500</v>
      </c>
    </row>
    <row r="251" spans="1:10" x14ac:dyDescent="0.3">
      <c r="A251" s="1">
        <v>44202</v>
      </c>
      <c r="B251" t="s">
        <v>21</v>
      </c>
      <c r="C251" t="s">
        <v>22</v>
      </c>
      <c r="D251" s="5">
        <v>3712.2</v>
      </c>
      <c r="E251" s="6">
        <v>3783.04</v>
      </c>
      <c r="F251" s="6">
        <v>3705.34</v>
      </c>
      <c r="G251" s="6">
        <v>3748.14</v>
      </c>
      <c r="H251" s="9">
        <v>6049970000</v>
      </c>
      <c r="I251" t="str">
        <f t="shared" si="6"/>
        <v>January</v>
      </c>
      <c r="J251" t="str">
        <f t="shared" si="7"/>
        <v>SP500</v>
      </c>
    </row>
    <row r="252" spans="1:10" x14ac:dyDescent="0.3">
      <c r="A252" s="1">
        <v>44201</v>
      </c>
      <c r="B252" t="s">
        <v>21</v>
      </c>
      <c r="C252" t="s">
        <v>22</v>
      </c>
      <c r="D252" s="5">
        <v>3698.02</v>
      </c>
      <c r="E252" s="6">
        <v>3737.83</v>
      </c>
      <c r="F252" s="6">
        <v>3695.07</v>
      </c>
      <c r="G252" s="6">
        <v>3726.86</v>
      </c>
      <c r="H252" s="9">
        <v>4582620000</v>
      </c>
      <c r="I252" t="str">
        <f t="shared" si="6"/>
        <v>January</v>
      </c>
      <c r="J252" t="str">
        <f t="shared" si="7"/>
        <v>SP500</v>
      </c>
    </row>
    <row r="253" spans="1:10" x14ac:dyDescent="0.3">
      <c r="A253" s="1">
        <v>44200</v>
      </c>
      <c r="B253" t="s">
        <v>21</v>
      </c>
      <c r="C253" t="s">
        <v>22</v>
      </c>
      <c r="D253" s="5">
        <v>3764.61</v>
      </c>
      <c r="E253" s="6">
        <v>3769.99</v>
      </c>
      <c r="F253" s="6">
        <v>3662.71</v>
      </c>
      <c r="G253" s="6">
        <v>3700.65</v>
      </c>
      <c r="H253" s="9">
        <v>5006680000</v>
      </c>
      <c r="I253" t="str">
        <f t="shared" si="6"/>
        <v>January</v>
      </c>
      <c r="J253" t="str">
        <f t="shared" si="7"/>
        <v>SP500</v>
      </c>
    </row>
    <row r="254" spans="1:10" hidden="1" x14ac:dyDescent="0.3">
      <c r="A254" s="1">
        <v>44561</v>
      </c>
      <c r="B254" t="s">
        <v>20</v>
      </c>
      <c r="C254" t="s">
        <v>9</v>
      </c>
      <c r="D254">
        <v>47207.99</v>
      </c>
      <c r="E254">
        <v>48578.35</v>
      </c>
      <c r="F254">
        <v>45641.11</v>
      </c>
      <c r="G254">
        <v>46806.83</v>
      </c>
      <c r="H254">
        <v>1591.71</v>
      </c>
      <c r="I254" t="str">
        <f t="shared" si="6"/>
        <v>Dec</v>
      </c>
      <c r="J254" t="str">
        <f t="shared" si="7"/>
        <v>BTCUSD</v>
      </c>
    </row>
    <row r="255" spans="1:10" hidden="1" x14ac:dyDescent="0.3">
      <c r="A255" s="1">
        <v>44560</v>
      </c>
      <c r="B255" t="s">
        <v>20</v>
      </c>
      <c r="C255" t="s">
        <v>9</v>
      </c>
      <c r="D255">
        <v>46502.44</v>
      </c>
      <c r="E255">
        <v>47949.3</v>
      </c>
      <c r="F255">
        <v>46496.19</v>
      </c>
      <c r="G255">
        <v>47207.99</v>
      </c>
      <c r="H255">
        <v>998.41</v>
      </c>
      <c r="I255" t="str">
        <f t="shared" si="6"/>
        <v>Dec</v>
      </c>
      <c r="J255" t="str">
        <f t="shared" si="7"/>
        <v>BTCUSD</v>
      </c>
    </row>
    <row r="256" spans="1:10" hidden="1" x14ac:dyDescent="0.3">
      <c r="A256" s="1">
        <v>44559</v>
      </c>
      <c r="B256" t="s">
        <v>20</v>
      </c>
      <c r="C256" t="s">
        <v>9</v>
      </c>
      <c r="D256">
        <v>48017.93</v>
      </c>
      <c r="E256">
        <v>48075.97</v>
      </c>
      <c r="F256">
        <v>45945.3</v>
      </c>
      <c r="G256">
        <v>46502.44</v>
      </c>
      <c r="H256">
        <v>1119.6300000000001</v>
      </c>
      <c r="I256" t="str">
        <f t="shared" si="6"/>
        <v>Dec</v>
      </c>
      <c r="J256" t="str">
        <f t="shared" si="7"/>
        <v>BTCUSD</v>
      </c>
    </row>
    <row r="257" spans="1:10" hidden="1" x14ac:dyDescent="0.3">
      <c r="A257" s="1">
        <v>44558</v>
      </c>
      <c r="B257" t="s">
        <v>20</v>
      </c>
      <c r="C257" t="s">
        <v>9</v>
      </c>
      <c r="D257">
        <v>49821.79</v>
      </c>
      <c r="E257">
        <v>49834.68</v>
      </c>
      <c r="F257">
        <v>47322.97</v>
      </c>
      <c r="G257">
        <v>48017.93</v>
      </c>
      <c r="H257">
        <v>1275.01</v>
      </c>
      <c r="I257" t="str">
        <f t="shared" si="6"/>
        <v>Dec</v>
      </c>
      <c r="J257" t="str">
        <f t="shared" si="7"/>
        <v>BTCUSD</v>
      </c>
    </row>
    <row r="258" spans="1:10" hidden="1" x14ac:dyDescent="0.3">
      <c r="A258" s="1">
        <v>44557</v>
      </c>
      <c r="B258" t="s">
        <v>20</v>
      </c>
      <c r="C258" t="s">
        <v>9</v>
      </c>
      <c r="D258">
        <v>51036.12</v>
      </c>
      <c r="E258">
        <v>52104.93</v>
      </c>
      <c r="F258">
        <v>49509.47</v>
      </c>
      <c r="G258">
        <v>49821.79</v>
      </c>
      <c r="H258">
        <v>896.04</v>
      </c>
      <c r="I258" t="str">
        <f t="shared" ref="I258:I321" si="8">TRIM(B258)</f>
        <v>Dec</v>
      </c>
      <c r="J258" t="str">
        <f t="shared" ref="J258:J321" si="9">TRIM(C258)</f>
        <v>BTCUSD</v>
      </c>
    </row>
    <row r="259" spans="1:10" hidden="1" x14ac:dyDescent="0.3">
      <c r="A259" s="1">
        <v>44556</v>
      </c>
      <c r="B259" t="s">
        <v>20</v>
      </c>
      <c r="C259" t="s">
        <v>9</v>
      </c>
      <c r="D259">
        <v>49705.21</v>
      </c>
      <c r="E259">
        <v>51294.26</v>
      </c>
      <c r="F259">
        <v>49460.66</v>
      </c>
      <c r="G259">
        <v>51036.12</v>
      </c>
      <c r="H259">
        <v>489.24</v>
      </c>
      <c r="I259" t="str">
        <f t="shared" si="8"/>
        <v>Dec</v>
      </c>
      <c r="J259" t="str">
        <f t="shared" si="9"/>
        <v>BTCUSD</v>
      </c>
    </row>
    <row r="260" spans="1:10" hidden="1" x14ac:dyDescent="0.3">
      <c r="A260" s="1">
        <v>44555</v>
      </c>
      <c r="B260" t="s">
        <v>20</v>
      </c>
      <c r="C260" t="s">
        <v>9</v>
      </c>
      <c r="D260">
        <v>50872.31</v>
      </c>
      <c r="E260">
        <v>51156.95</v>
      </c>
      <c r="F260">
        <v>49656.65</v>
      </c>
      <c r="G260">
        <v>49705.21</v>
      </c>
      <c r="H260">
        <v>400.67</v>
      </c>
      <c r="I260" t="str">
        <f t="shared" si="8"/>
        <v>Dec</v>
      </c>
      <c r="J260" t="str">
        <f t="shared" si="9"/>
        <v>BTCUSD</v>
      </c>
    </row>
    <row r="261" spans="1:10" hidden="1" x14ac:dyDescent="0.3">
      <c r="A261" s="1">
        <v>44554</v>
      </c>
      <c r="B261" t="s">
        <v>20</v>
      </c>
      <c r="C261" t="s">
        <v>9</v>
      </c>
      <c r="D261">
        <v>51067.839999999997</v>
      </c>
      <c r="E261">
        <v>51866.86</v>
      </c>
      <c r="F261">
        <v>50461.08</v>
      </c>
      <c r="G261">
        <v>50872.31</v>
      </c>
      <c r="H261">
        <v>558.12</v>
      </c>
      <c r="I261" t="str">
        <f t="shared" si="8"/>
        <v>Dec</v>
      </c>
      <c r="J261" t="str">
        <f t="shared" si="9"/>
        <v>BTCUSD</v>
      </c>
    </row>
    <row r="262" spans="1:10" hidden="1" x14ac:dyDescent="0.3">
      <c r="A262" s="1">
        <v>44553</v>
      </c>
      <c r="B262" t="s">
        <v>20</v>
      </c>
      <c r="C262" t="s">
        <v>9</v>
      </c>
      <c r="D262">
        <v>48545.38</v>
      </c>
      <c r="E262">
        <v>51533.71</v>
      </c>
      <c r="F262">
        <v>48072.35</v>
      </c>
      <c r="G262">
        <v>51067.839999999997</v>
      </c>
      <c r="H262">
        <v>1001.26</v>
      </c>
      <c r="I262" t="str">
        <f t="shared" si="8"/>
        <v>Dec</v>
      </c>
      <c r="J262" t="str">
        <f t="shared" si="9"/>
        <v>BTCUSD</v>
      </c>
    </row>
    <row r="263" spans="1:10" hidden="1" x14ac:dyDescent="0.3">
      <c r="A263" s="1">
        <v>44552</v>
      </c>
      <c r="B263" t="s">
        <v>20</v>
      </c>
      <c r="C263" t="s">
        <v>9</v>
      </c>
      <c r="D263">
        <v>49263.44</v>
      </c>
      <c r="E263">
        <v>49548.86</v>
      </c>
      <c r="F263">
        <v>48063.360000000001</v>
      </c>
      <c r="G263">
        <v>48545.38</v>
      </c>
      <c r="H263">
        <v>726.8</v>
      </c>
      <c r="I263" t="str">
        <f t="shared" si="8"/>
        <v>Dec</v>
      </c>
      <c r="J263" t="str">
        <f t="shared" si="9"/>
        <v>BTCUSD</v>
      </c>
    </row>
    <row r="264" spans="1:10" hidden="1" x14ac:dyDescent="0.3">
      <c r="A264" s="1">
        <v>44551</v>
      </c>
      <c r="B264" t="s">
        <v>20</v>
      </c>
      <c r="C264" t="s">
        <v>9</v>
      </c>
      <c r="D264">
        <v>47954.559999999998</v>
      </c>
      <c r="E264">
        <v>49598.11</v>
      </c>
      <c r="F264">
        <v>47948.07</v>
      </c>
      <c r="G264">
        <v>49263.44</v>
      </c>
      <c r="H264">
        <v>1235.8900000000001</v>
      </c>
      <c r="I264" t="str">
        <f t="shared" si="8"/>
        <v>Dec</v>
      </c>
      <c r="J264" t="str">
        <f t="shared" si="9"/>
        <v>BTCUSD</v>
      </c>
    </row>
    <row r="265" spans="1:10" hidden="1" x14ac:dyDescent="0.3">
      <c r="A265" s="1">
        <v>44550</v>
      </c>
      <c r="B265" t="s">
        <v>20</v>
      </c>
      <c r="C265" t="s">
        <v>9</v>
      </c>
      <c r="D265">
        <v>46709.08</v>
      </c>
      <c r="E265">
        <v>48082.61</v>
      </c>
      <c r="F265">
        <v>45579.18</v>
      </c>
      <c r="G265">
        <v>47954.559999999998</v>
      </c>
      <c r="H265">
        <v>954.7</v>
      </c>
      <c r="I265" t="str">
        <f t="shared" si="8"/>
        <v>Dec</v>
      </c>
      <c r="J265" t="str">
        <f t="shared" si="9"/>
        <v>BTCUSD</v>
      </c>
    </row>
    <row r="266" spans="1:10" hidden="1" x14ac:dyDescent="0.3">
      <c r="A266" s="1">
        <v>44549</v>
      </c>
      <c r="B266" t="s">
        <v>20</v>
      </c>
      <c r="C266" t="s">
        <v>9</v>
      </c>
      <c r="D266">
        <v>47745.99</v>
      </c>
      <c r="E266">
        <v>48306.22</v>
      </c>
      <c r="F266">
        <v>46255</v>
      </c>
      <c r="G266">
        <v>46709.08</v>
      </c>
      <c r="H266">
        <v>670.52</v>
      </c>
      <c r="I266" t="str">
        <f t="shared" si="8"/>
        <v>Dec</v>
      </c>
      <c r="J266" t="str">
        <f t="shared" si="9"/>
        <v>BTCUSD</v>
      </c>
    </row>
    <row r="267" spans="1:10" hidden="1" x14ac:dyDescent="0.3">
      <c r="A267" s="1">
        <v>44548</v>
      </c>
      <c r="B267" t="s">
        <v>20</v>
      </c>
      <c r="C267" t="s">
        <v>9</v>
      </c>
      <c r="D267">
        <v>46312.19</v>
      </c>
      <c r="E267">
        <v>47980.93</v>
      </c>
      <c r="F267">
        <v>46100</v>
      </c>
      <c r="G267">
        <v>47745.99</v>
      </c>
      <c r="H267">
        <v>500.98</v>
      </c>
      <c r="I267" t="str">
        <f t="shared" si="8"/>
        <v>Dec</v>
      </c>
      <c r="J267" t="str">
        <f t="shared" si="9"/>
        <v>BTCUSD</v>
      </c>
    </row>
    <row r="268" spans="1:10" hidden="1" x14ac:dyDescent="0.3">
      <c r="A268" s="1">
        <v>44547</v>
      </c>
      <c r="B268" t="s">
        <v>20</v>
      </c>
      <c r="C268" t="s">
        <v>9</v>
      </c>
      <c r="D268">
        <v>47779.8</v>
      </c>
      <c r="E268">
        <v>48194.13</v>
      </c>
      <c r="F268">
        <v>45463.96</v>
      </c>
      <c r="G268">
        <v>46312.19</v>
      </c>
      <c r="H268">
        <v>1294.0999999999999</v>
      </c>
      <c r="I268" t="str">
        <f t="shared" si="8"/>
        <v>Dec</v>
      </c>
      <c r="J268" t="str">
        <f t="shared" si="9"/>
        <v>BTCUSD</v>
      </c>
    </row>
    <row r="269" spans="1:10" hidden="1" x14ac:dyDescent="0.3">
      <c r="A269" s="1">
        <v>44546</v>
      </c>
      <c r="B269" t="s">
        <v>20</v>
      </c>
      <c r="C269" t="s">
        <v>9</v>
      </c>
      <c r="D269">
        <v>48838.59</v>
      </c>
      <c r="E269">
        <v>49466.29</v>
      </c>
      <c r="F269">
        <v>47438.15</v>
      </c>
      <c r="G269">
        <v>47779.8</v>
      </c>
      <c r="H269">
        <v>881.67</v>
      </c>
      <c r="I269" t="str">
        <f t="shared" si="8"/>
        <v>Dec</v>
      </c>
      <c r="J269" t="str">
        <f t="shared" si="9"/>
        <v>BTCUSD</v>
      </c>
    </row>
    <row r="270" spans="1:10" hidden="1" x14ac:dyDescent="0.3">
      <c r="A270" s="1">
        <v>44545</v>
      </c>
      <c r="B270" t="s">
        <v>20</v>
      </c>
      <c r="C270" t="s">
        <v>9</v>
      </c>
      <c r="D270">
        <v>48280.5</v>
      </c>
      <c r="E270">
        <v>49500</v>
      </c>
      <c r="F270">
        <v>46539</v>
      </c>
      <c r="G270">
        <v>48838.59</v>
      </c>
      <c r="H270">
        <v>1684.17</v>
      </c>
      <c r="I270" t="str">
        <f t="shared" si="8"/>
        <v>Dec</v>
      </c>
      <c r="J270" t="str">
        <f t="shared" si="9"/>
        <v>BTCUSD</v>
      </c>
    </row>
    <row r="271" spans="1:10" hidden="1" x14ac:dyDescent="0.3">
      <c r="A271" s="1">
        <v>44544</v>
      </c>
      <c r="B271" t="s">
        <v>20</v>
      </c>
      <c r="C271" t="s">
        <v>9</v>
      </c>
      <c r="D271">
        <v>46968.47</v>
      </c>
      <c r="E271">
        <v>48784.28</v>
      </c>
      <c r="F271">
        <v>46350</v>
      </c>
      <c r="G271">
        <v>48280.5</v>
      </c>
      <c r="H271">
        <v>1026.1199999999999</v>
      </c>
      <c r="I271" t="str">
        <f t="shared" si="8"/>
        <v>Dec</v>
      </c>
      <c r="J271" t="str">
        <f t="shared" si="9"/>
        <v>BTCUSD</v>
      </c>
    </row>
    <row r="272" spans="1:10" hidden="1" x14ac:dyDescent="0.3">
      <c r="A272" s="1">
        <v>44543</v>
      </c>
      <c r="B272" t="s">
        <v>20</v>
      </c>
      <c r="C272" t="s">
        <v>9</v>
      </c>
      <c r="D272">
        <v>48899.75</v>
      </c>
      <c r="E272">
        <v>49348.69</v>
      </c>
      <c r="F272">
        <v>45618.84</v>
      </c>
      <c r="G272">
        <v>46968.47</v>
      </c>
      <c r="H272">
        <v>1749.04</v>
      </c>
      <c r="I272" t="str">
        <f t="shared" si="8"/>
        <v>Dec</v>
      </c>
      <c r="J272" t="str">
        <f t="shared" si="9"/>
        <v>BTCUSD</v>
      </c>
    </row>
    <row r="273" spans="1:10" hidden="1" x14ac:dyDescent="0.3">
      <c r="A273" s="1">
        <v>44542</v>
      </c>
      <c r="B273" t="s">
        <v>20</v>
      </c>
      <c r="C273" t="s">
        <v>9</v>
      </c>
      <c r="D273">
        <v>49333.66</v>
      </c>
      <c r="E273">
        <v>50808.480000000003</v>
      </c>
      <c r="F273">
        <v>48490.81</v>
      </c>
      <c r="G273">
        <v>48899.75</v>
      </c>
      <c r="H273">
        <v>779.55</v>
      </c>
      <c r="I273" t="str">
        <f t="shared" si="8"/>
        <v>Dec</v>
      </c>
      <c r="J273" t="str">
        <f t="shared" si="9"/>
        <v>BTCUSD</v>
      </c>
    </row>
    <row r="274" spans="1:10" hidden="1" x14ac:dyDescent="0.3">
      <c r="A274" s="1">
        <v>44541</v>
      </c>
      <c r="B274" t="s">
        <v>20</v>
      </c>
      <c r="C274" t="s">
        <v>9</v>
      </c>
      <c r="D274">
        <v>48331.11</v>
      </c>
      <c r="E274">
        <v>49699.99</v>
      </c>
      <c r="F274">
        <v>47819.28</v>
      </c>
      <c r="G274">
        <v>49333.66</v>
      </c>
      <c r="H274">
        <v>623.86</v>
      </c>
      <c r="I274" t="str">
        <f t="shared" si="8"/>
        <v>Dec</v>
      </c>
      <c r="J274" t="str">
        <f t="shared" si="9"/>
        <v>BTCUSD</v>
      </c>
    </row>
    <row r="275" spans="1:10" hidden="1" x14ac:dyDescent="0.3">
      <c r="A275" s="1">
        <v>44540</v>
      </c>
      <c r="B275" t="s">
        <v>20</v>
      </c>
      <c r="C275" t="s">
        <v>9</v>
      </c>
      <c r="D275">
        <v>48405.03</v>
      </c>
      <c r="E275">
        <v>49243</v>
      </c>
      <c r="F275">
        <v>46759.199999999997</v>
      </c>
      <c r="G275">
        <v>48331.11</v>
      </c>
      <c r="H275">
        <v>766.72</v>
      </c>
      <c r="I275" t="str">
        <f t="shared" si="8"/>
        <v>Dec</v>
      </c>
      <c r="J275" t="str">
        <f t="shared" si="9"/>
        <v>BTCUSD</v>
      </c>
    </row>
    <row r="276" spans="1:10" hidden="1" x14ac:dyDescent="0.3">
      <c r="A276" s="1">
        <v>44539</v>
      </c>
      <c r="B276" t="s">
        <v>20</v>
      </c>
      <c r="C276" t="s">
        <v>9</v>
      </c>
      <c r="D276">
        <v>49567.4</v>
      </c>
      <c r="E276">
        <v>50362.35</v>
      </c>
      <c r="F276">
        <v>47335.199999999997</v>
      </c>
      <c r="G276">
        <v>48405.03</v>
      </c>
      <c r="H276">
        <v>1686.8</v>
      </c>
      <c r="I276" t="str">
        <f t="shared" si="8"/>
        <v>Dec</v>
      </c>
      <c r="J276" t="str">
        <f t="shared" si="9"/>
        <v>BTCUSD</v>
      </c>
    </row>
    <row r="277" spans="1:10" hidden="1" x14ac:dyDescent="0.3">
      <c r="A277" s="1">
        <v>44538</v>
      </c>
      <c r="B277" t="s">
        <v>20</v>
      </c>
      <c r="C277" t="s">
        <v>9</v>
      </c>
      <c r="D277">
        <v>50162.48</v>
      </c>
      <c r="E277">
        <v>51269.82</v>
      </c>
      <c r="F277">
        <v>48669.68</v>
      </c>
      <c r="G277">
        <v>49567.4</v>
      </c>
      <c r="H277">
        <v>1215.5999999999999</v>
      </c>
      <c r="I277" t="str">
        <f t="shared" si="8"/>
        <v>Dec</v>
      </c>
      <c r="J277" t="str">
        <f t="shared" si="9"/>
        <v>BTCUSD</v>
      </c>
    </row>
    <row r="278" spans="1:10" hidden="1" x14ac:dyDescent="0.3">
      <c r="A278" s="1">
        <v>44537</v>
      </c>
      <c r="B278" t="s">
        <v>20</v>
      </c>
      <c r="C278" t="s">
        <v>9</v>
      </c>
      <c r="D278">
        <v>51012.43</v>
      </c>
      <c r="E278">
        <v>51982.66</v>
      </c>
      <c r="F278">
        <v>50086</v>
      </c>
      <c r="G278">
        <v>50162.48</v>
      </c>
      <c r="H278">
        <v>1220.79</v>
      </c>
      <c r="I278" t="str">
        <f t="shared" si="8"/>
        <v>Dec</v>
      </c>
      <c r="J278" t="str">
        <f t="shared" si="9"/>
        <v>BTCUSD</v>
      </c>
    </row>
    <row r="279" spans="1:10" hidden="1" x14ac:dyDescent="0.3">
      <c r="A279" s="1">
        <v>44536</v>
      </c>
      <c r="B279" t="s">
        <v>20</v>
      </c>
      <c r="C279" t="s">
        <v>9</v>
      </c>
      <c r="D279">
        <v>49103.01</v>
      </c>
      <c r="E279">
        <v>51481.04</v>
      </c>
      <c r="F279">
        <v>47165.65</v>
      </c>
      <c r="G279">
        <v>51012.43</v>
      </c>
      <c r="H279">
        <v>2139.33</v>
      </c>
      <c r="I279" t="str">
        <f t="shared" si="8"/>
        <v>Dec</v>
      </c>
      <c r="J279" t="str">
        <f t="shared" si="9"/>
        <v>BTCUSD</v>
      </c>
    </row>
    <row r="280" spans="1:10" hidden="1" x14ac:dyDescent="0.3">
      <c r="A280" s="1">
        <v>44535</v>
      </c>
      <c r="B280" t="s">
        <v>20</v>
      </c>
      <c r="C280" t="s">
        <v>9</v>
      </c>
      <c r="D280">
        <v>49249.56</v>
      </c>
      <c r="E280">
        <v>49786.95</v>
      </c>
      <c r="F280">
        <v>47844.03</v>
      </c>
      <c r="G280">
        <v>49103.01</v>
      </c>
      <c r="H280">
        <v>3697.03</v>
      </c>
      <c r="I280" t="str">
        <f t="shared" si="8"/>
        <v>Dec</v>
      </c>
      <c r="J280" t="str">
        <f t="shared" si="9"/>
        <v>BTCUSD</v>
      </c>
    </row>
    <row r="281" spans="1:10" hidden="1" x14ac:dyDescent="0.3">
      <c r="A281" s="1">
        <v>44534</v>
      </c>
      <c r="B281" t="s">
        <v>20</v>
      </c>
      <c r="C281" t="s">
        <v>9</v>
      </c>
      <c r="D281">
        <v>52055.9</v>
      </c>
      <c r="E281">
        <v>52644.42</v>
      </c>
      <c r="F281">
        <v>42074.62</v>
      </c>
      <c r="G281">
        <v>49249.56</v>
      </c>
      <c r="H281">
        <v>5486.89</v>
      </c>
      <c r="I281" t="str">
        <f t="shared" si="8"/>
        <v>Dec</v>
      </c>
      <c r="J281" t="str">
        <f t="shared" si="9"/>
        <v>BTCUSD</v>
      </c>
    </row>
    <row r="282" spans="1:10" hidden="1" x14ac:dyDescent="0.3">
      <c r="A282" s="1">
        <v>44533</v>
      </c>
      <c r="B282" t="s">
        <v>20</v>
      </c>
      <c r="C282" t="s">
        <v>9</v>
      </c>
      <c r="D282">
        <v>56380.25</v>
      </c>
      <c r="E282">
        <v>57673.58</v>
      </c>
      <c r="F282">
        <v>51619.3</v>
      </c>
      <c r="G282">
        <v>52055.9</v>
      </c>
      <c r="H282">
        <v>1784.77</v>
      </c>
      <c r="I282" t="str">
        <f t="shared" si="8"/>
        <v>Dec</v>
      </c>
      <c r="J282" t="str">
        <f t="shared" si="9"/>
        <v>BTCUSD</v>
      </c>
    </row>
    <row r="283" spans="1:10" hidden="1" x14ac:dyDescent="0.3">
      <c r="A283" s="1">
        <v>44532</v>
      </c>
      <c r="B283" t="s">
        <v>20</v>
      </c>
      <c r="C283" t="s">
        <v>9</v>
      </c>
      <c r="D283">
        <v>56362.19</v>
      </c>
      <c r="E283">
        <v>57277.919999999998</v>
      </c>
      <c r="F283">
        <v>56000</v>
      </c>
      <c r="G283">
        <v>56380.25</v>
      </c>
      <c r="H283">
        <v>1140.49</v>
      </c>
      <c r="I283" t="str">
        <f t="shared" si="8"/>
        <v>Dec</v>
      </c>
      <c r="J283" t="str">
        <f t="shared" si="9"/>
        <v>BTCUSD</v>
      </c>
    </row>
    <row r="284" spans="1:10" hidden="1" x14ac:dyDescent="0.3">
      <c r="A284" s="1">
        <v>44531</v>
      </c>
      <c r="B284" t="s">
        <v>20</v>
      </c>
      <c r="C284" t="s">
        <v>9</v>
      </c>
      <c r="D284">
        <v>57404.47</v>
      </c>
      <c r="E284">
        <v>59105.91</v>
      </c>
      <c r="F284">
        <v>55860.02</v>
      </c>
      <c r="G284">
        <v>56362.19</v>
      </c>
      <c r="H284">
        <v>1420.43</v>
      </c>
      <c r="I284" t="str">
        <f t="shared" si="8"/>
        <v>Dec</v>
      </c>
      <c r="J284" t="str">
        <f t="shared" si="9"/>
        <v>BTCUSD</v>
      </c>
    </row>
    <row r="285" spans="1:10" hidden="1" x14ac:dyDescent="0.3">
      <c r="A285" s="1">
        <v>44530</v>
      </c>
      <c r="B285" t="s">
        <v>19</v>
      </c>
      <c r="C285" t="s">
        <v>9</v>
      </c>
      <c r="D285">
        <v>57163.87</v>
      </c>
      <c r="E285">
        <v>59226.98</v>
      </c>
      <c r="F285">
        <v>55930.25</v>
      </c>
      <c r="G285">
        <v>57404.47</v>
      </c>
      <c r="H285">
        <v>1487.28</v>
      </c>
      <c r="I285" t="str">
        <f t="shared" si="8"/>
        <v>Nov</v>
      </c>
      <c r="J285" t="str">
        <f t="shared" si="9"/>
        <v>BTCUSD</v>
      </c>
    </row>
    <row r="286" spans="1:10" hidden="1" x14ac:dyDescent="0.3">
      <c r="A286" s="1">
        <v>44529</v>
      </c>
      <c r="B286" t="s">
        <v>19</v>
      </c>
      <c r="C286" t="s">
        <v>9</v>
      </c>
      <c r="D286">
        <v>57400.61</v>
      </c>
      <c r="E286">
        <v>58903.31</v>
      </c>
      <c r="F286">
        <v>56734.49</v>
      </c>
      <c r="G286">
        <v>57163.87</v>
      </c>
      <c r="H286">
        <v>1057.04</v>
      </c>
      <c r="I286" t="str">
        <f t="shared" si="8"/>
        <v>Nov</v>
      </c>
      <c r="J286" t="str">
        <f t="shared" si="9"/>
        <v>BTCUSD</v>
      </c>
    </row>
    <row r="287" spans="1:10" hidden="1" x14ac:dyDescent="0.3">
      <c r="A287" s="1">
        <v>44528</v>
      </c>
      <c r="B287" t="s">
        <v>19</v>
      </c>
      <c r="C287" t="s">
        <v>9</v>
      </c>
      <c r="D287">
        <v>54161.85</v>
      </c>
      <c r="E287">
        <v>58265.2</v>
      </c>
      <c r="F287">
        <v>53333.33</v>
      </c>
      <c r="G287">
        <v>57400.61</v>
      </c>
      <c r="H287">
        <v>790.75</v>
      </c>
      <c r="I287" t="str">
        <f t="shared" si="8"/>
        <v>Nov</v>
      </c>
      <c r="J287" t="str">
        <f t="shared" si="9"/>
        <v>BTCUSD</v>
      </c>
    </row>
    <row r="288" spans="1:10" hidden="1" x14ac:dyDescent="0.3">
      <c r="A288" s="1">
        <v>44527</v>
      </c>
      <c r="B288" t="s">
        <v>19</v>
      </c>
      <c r="C288" t="s">
        <v>9</v>
      </c>
      <c r="D288">
        <v>54409.03</v>
      </c>
      <c r="E288">
        <v>55320.800000000003</v>
      </c>
      <c r="F288">
        <v>53739.8</v>
      </c>
      <c r="G288">
        <v>54161.85</v>
      </c>
      <c r="H288">
        <v>556.51</v>
      </c>
      <c r="I288" t="str">
        <f t="shared" si="8"/>
        <v>Nov</v>
      </c>
      <c r="J288" t="str">
        <f t="shared" si="9"/>
        <v>BTCUSD</v>
      </c>
    </row>
    <row r="289" spans="1:10" hidden="1" x14ac:dyDescent="0.3">
      <c r="A289" s="1">
        <v>44526</v>
      </c>
      <c r="B289" t="s">
        <v>19</v>
      </c>
      <c r="C289" t="s">
        <v>9</v>
      </c>
      <c r="D289">
        <v>57952.35</v>
      </c>
      <c r="E289">
        <v>58043.76</v>
      </c>
      <c r="F289">
        <v>53529</v>
      </c>
      <c r="G289">
        <v>54409.03</v>
      </c>
      <c r="H289">
        <v>2804.1</v>
      </c>
      <c r="I289" t="str">
        <f t="shared" si="8"/>
        <v>Nov</v>
      </c>
      <c r="J289" t="str">
        <f t="shared" si="9"/>
        <v>BTCUSD</v>
      </c>
    </row>
    <row r="290" spans="1:10" hidden="1" x14ac:dyDescent="0.3">
      <c r="A290" s="1">
        <v>44525</v>
      </c>
      <c r="B290" t="s">
        <v>19</v>
      </c>
      <c r="C290" t="s">
        <v>9</v>
      </c>
      <c r="D290">
        <v>57756.25</v>
      </c>
      <c r="E290">
        <v>59476.65</v>
      </c>
      <c r="F290">
        <v>57051.76</v>
      </c>
      <c r="G290">
        <v>57952.35</v>
      </c>
      <c r="H290">
        <v>628.99</v>
      </c>
      <c r="I290" t="str">
        <f t="shared" si="8"/>
        <v>Nov</v>
      </c>
      <c r="J290" t="str">
        <f t="shared" si="9"/>
        <v>BTCUSD</v>
      </c>
    </row>
    <row r="291" spans="1:10" hidden="1" x14ac:dyDescent="0.3">
      <c r="A291" s="1">
        <v>44524</v>
      </c>
      <c r="B291" t="s">
        <v>19</v>
      </c>
      <c r="C291" t="s">
        <v>9</v>
      </c>
      <c r="D291">
        <v>56423.5</v>
      </c>
      <c r="E291">
        <v>58276.58</v>
      </c>
      <c r="F291">
        <v>55899</v>
      </c>
      <c r="G291">
        <v>57756.25</v>
      </c>
      <c r="H291">
        <v>1105.1600000000001</v>
      </c>
      <c r="I291" t="str">
        <f t="shared" si="8"/>
        <v>Nov</v>
      </c>
      <c r="J291" t="str">
        <f t="shared" si="9"/>
        <v>BTCUSD</v>
      </c>
    </row>
    <row r="292" spans="1:10" hidden="1" x14ac:dyDescent="0.3">
      <c r="A292" s="1">
        <v>44523</v>
      </c>
      <c r="B292" t="s">
        <v>19</v>
      </c>
      <c r="C292" t="s">
        <v>9</v>
      </c>
      <c r="D292">
        <v>56975.38</v>
      </c>
      <c r="E292">
        <v>57882.26</v>
      </c>
      <c r="F292">
        <v>55384</v>
      </c>
      <c r="G292">
        <v>56423.5</v>
      </c>
      <c r="H292">
        <v>1584.78</v>
      </c>
      <c r="I292" t="str">
        <f t="shared" si="8"/>
        <v>Nov</v>
      </c>
      <c r="J292" t="str">
        <f t="shared" si="9"/>
        <v>BTCUSD</v>
      </c>
    </row>
    <row r="293" spans="1:10" hidden="1" x14ac:dyDescent="0.3">
      <c r="A293" s="1">
        <v>44522</v>
      </c>
      <c r="B293" t="s">
        <v>19</v>
      </c>
      <c r="C293" t="s">
        <v>9</v>
      </c>
      <c r="D293">
        <v>57440.38</v>
      </c>
      <c r="E293">
        <v>59581.52</v>
      </c>
      <c r="F293">
        <v>55648.53</v>
      </c>
      <c r="G293">
        <v>56975.38</v>
      </c>
      <c r="H293">
        <v>1430.31</v>
      </c>
      <c r="I293" t="str">
        <f t="shared" si="8"/>
        <v>Nov</v>
      </c>
      <c r="J293" t="str">
        <f t="shared" si="9"/>
        <v>BTCUSD</v>
      </c>
    </row>
    <row r="294" spans="1:10" hidden="1" x14ac:dyDescent="0.3">
      <c r="A294" s="1">
        <v>44521</v>
      </c>
      <c r="B294" t="s">
        <v>19</v>
      </c>
      <c r="C294" t="s">
        <v>9</v>
      </c>
      <c r="D294">
        <v>58741.06</v>
      </c>
      <c r="E294">
        <v>60061.89</v>
      </c>
      <c r="F294">
        <v>57049.07</v>
      </c>
      <c r="G294">
        <v>57440.38</v>
      </c>
      <c r="H294">
        <v>649.59</v>
      </c>
      <c r="I294" t="str">
        <f t="shared" si="8"/>
        <v>Nov</v>
      </c>
      <c r="J294" t="str">
        <f t="shared" si="9"/>
        <v>BTCUSD</v>
      </c>
    </row>
    <row r="295" spans="1:10" hidden="1" x14ac:dyDescent="0.3">
      <c r="A295" s="1">
        <v>44520</v>
      </c>
      <c r="B295" t="s">
        <v>19</v>
      </c>
      <c r="C295" t="s">
        <v>9</v>
      </c>
      <c r="D295">
        <v>58596.83</v>
      </c>
      <c r="E295">
        <v>59886.11</v>
      </c>
      <c r="F295">
        <v>57442</v>
      </c>
      <c r="G295">
        <v>58741.06</v>
      </c>
      <c r="H295">
        <v>777.79</v>
      </c>
      <c r="I295" t="str">
        <f t="shared" si="8"/>
        <v>Nov</v>
      </c>
      <c r="J295" t="str">
        <f t="shared" si="9"/>
        <v>BTCUSD</v>
      </c>
    </row>
    <row r="296" spans="1:10" hidden="1" x14ac:dyDescent="0.3">
      <c r="A296" s="1">
        <v>44519</v>
      </c>
      <c r="B296" t="s">
        <v>19</v>
      </c>
      <c r="C296" t="s">
        <v>9</v>
      </c>
      <c r="D296">
        <v>55911.16</v>
      </c>
      <c r="E296">
        <v>59042</v>
      </c>
      <c r="F296">
        <v>55856.95</v>
      </c>
      <c r="G296">
        <v>58596.83</v>
      </c>
      <c r="H296">
        <v>1483.12</v>
      </c>
      <c r="I296" t="str">
        <f t="shared" si="8"/>
        <v>Nov</v>
      </c>
      <c r="J296" t="str">
        <f t="shared" si="9"/>
        <v>BTCUSD</v>
      </c>
    </row>
    <row r="297" spans="1:10" hidden="1" x14ac:dyDescent="0.3">
      <c r="A297" s="1">
        <v>44518</v>
      </c>
      <c r="B297" t="s">
        <v>19</v>
      </c>
      <c r="C297" t="s">
        <v>9</v>
      </c>
      <c r="D297">
        <v>59885.21</v>
      </c>
      <c r="E297">
        <v>60106.3</v>
      </c>
      <c r="F297">
        <v>53760</v>
      </c>
      <c r="G297">
        <v>55911.16</v>
      </c>
      <c r="H297">
        <v>3999.42</v>
      </c>
      <c r="I297" t="str">
        <f t="shared" si="8"/>
        <v>Nov</v>
      </c>
      <c r="J297" t="str">
        <f t="shared" si="9"/>
        <v>BTCUSD</v>
      </c>
    </row>
    <row r="298" spans="1:10" hidden="1" x14ac:dyDescent="0.3">
      <c r="A298" s="1">
        <v>44517</v>
      </c>
      <c r="B298" t="s">
        <v>19</v>
      </c>
      <c r="C298" t="s">
        <v>9</v>
      </c>
      <c r="D298">
        <v>59050.45</v>
      </c>
      <c r="E298">
        <v>60976.25</v>
      </c>
      <c r="F298">
        <v>58434.8</v>
      </c>
      <c r="G298">
        <v>59885.21</v>
      </c>
      <c r="H298">
        <v>1794.84</v>
      </c>
      <c r="I298" t="str">
        <f t="shared" si="8"/>
        <v>Nov</v>
      </c>
      <c r="J298" t="str">
        <f t="shared" si="9"/>
        <v>BTCUSD</v>
      </c>
    </row>
    <row r="299" spans="1:10" hidden="1" x14ac:dyDescent="0.3">
      <c r="A299" s="1">
        <v>44516</v>
      </c>
      <c r="B299" t="s">
        <v>19</v>
      </c>
      <c r="C299" t="s">
        <v>9</v>
      </c>
      <c r="D299">
        <v>60944.13</v>
      </c>
      <c r="E299">
        <v>61558.53</v>
      </c>
      <c r="F299">
        <v>58573</v>
      </c>
      <c r="G299">
        <v>59050.45</v>
      </c>
      <c r="H299">
        <v>2725.2</v>
      </c>
      <c r="I299" t="str">
        <f t="shared" si="8"/>
        <v>Nov</v>
      </c>
      <c r="J299" t="str">
        <f t="shared" si="9"/>
        <v>BTCUSD</v>
      </c>
    </row>
    <row r="300" spans="1:10" hidden="1" x14ac:dyDescent="0.3">
      <c r="A300" s="1">
        <v>44515</v>
      </c>
      <c r="B300" t="s">
        <v>19</v>
      </c>
      <c r="C300" t="s">
        <v>9</v>
      </c>
      <c r="D300">
        <v>65744.179999999993</v>
      </c>
      <c r="E300">
        <v>66340.740000000005</v>
      </c>
      <c r="F300">
        <v>60503</v>
      </c>
      <c r="G300">
        <v>60944.13</v>
      </c>
      <c r="H300">
        <v>1790.8</v>
      </c>
      <c r="I300" t="str">
        <f t="shared" si="8"/>
        <v>Nov</v>
      </c>
      <c r="J300" t="str">
        <f t="shared" si="9"/>
        <v>BTCUSD</v>
      </c>
    </row>
    <row r="301" spans="1:10" hidden="1" x14ac:dyDescent="0.3">
      <c r="A301" s="1">
        <v>44514</v>
      </c>
      <c r="B301" t="s">
        <v>19</v>
      </c>
      <c r="C301" t="s">
        <v>9</v>
      </c>
      <c r="D301">
        <v>64673.279999999999</v>
      </c>
      <c r="E301">
        <v>66200</v>
      </c>
      <c r="F301">
        <v>63602.2</v>
      </c>
      <c r="G301">
        <v>65744.179999999993</v>
      </c>
      <c r="H301">
        <v>528.5</v>
      </c>
      <c r="I301" t="str">
        <f t="shared" si="8"/>
        <v>Nov</v>
      </c>
      <c r="J301" t="str">
        <f t="shared" si="9"/>
        <v>BTCUSD</v>
      </c>
    </row>
    <row r="302" spans="1:10" hidden="1" x14ac:dyDescent="0.3">
      <c r="A302" s="1">
        <v>44513</v>
      </c>
      <c r="B302" t="s">
        <v>19</v>
      </c>
      <c r="C302" t="s">
        <v>9</v>
      </c>
      <c r="D302">
        <v>63805.120000000003</v>
      </c>
      <c r="E302">
        <v>65338.87</v>
      </c>
      <c r="F302">
        <v>63409.49</v>
      </c>
      <c r="G302">
        <v>64673.279999999999</v>
      </c>
      <c r="H302">
        <v>310.01</v>
      </c>
      <c r="I302" t="str">
        <f t="shared" si="8"/>
        <v>Nov</v>
      </c>
      <c r="J302" t="str">
        <f t="shared" si="9"/>
        <v>BTCUSD</v>
      </c>
    </row>
    <row r="303" spans="1:10" hidden="1" x14ac:dyDescent="0.3">
      <c r="A303" s="1">
        <v>44512</v>
      </c>
      <c r="B303" t="s">
        <v>19</v>
      </c>
      <c r="C303" t="s">
        <v>9</v>
      </c>
      <c r="D303">
        <v>64857.63</v>
      </c>
      <c r="E303">
        <v>65071.49</v>
      </c>
      <c r="F303">
        <v>62875</v>
      </c>
      <c r="G303">
        <v>63805.120000000003</v>
      </c>
      <c r="H303">
        <v>1466.29</v>
      </c>
      <c r="I303" t="str">
        <f t="shared" si="8"/>
        <v>Nov</v>
      </c>
      <c r="J303" t="str">
        <f t="shared" si="9"/>
        <v>BTCUSD</v>
      </c>
    </row>
    <row r="304" spans="1:10" hidden="1" x14ac:dyDescent="0.3">
      <c r="A304" s="1">
        <v>44511</v>
      </c>
      <c r="B304" t="s">
        <v>19</v>
      </c>
      <c r="C304" t="s">
        <v>9</v>
      </c>
      <c r="D304">
        <v>64785.34</v>
      </c>
      <c r="E304">
        <v>65587</v>
      </c>
      <c r="F304">
        <v>64121</v>
      </c>
      <c r="G304">
        <v>64857.63</v>
      </c>
      <c r="H304">
        <v>1050.51</v>
      </c>
      <c r="I304" t="str">
        <f t="shared" si="8"/>
        <v>Nov</v>
      </c>
      <c r="J304" t="str">
        <f t="shared" si="9"/>
        <v>BTCUSD</v>
      </c>
    </row>
    <row r="305" spans="1:10" hidden="1" x14ac:dyDescent="0.3">
      <c r="A305" s="1">
        <v>44510</v>
      </c>
      <c r="B305" t="s">
        <v>19</v>
      </c>
      <c r="C305" t="s">
        <v>9</v>
      </c>
      <c r="D305">
        <v>66491.25</v>
      </c>
      <c r="E305">
        <v>69000</v>
      </c>
      <c r="F305">
        <v>62927.97</v>
      </c>
      <c r="G305">
        <v>64785.34</v>
      </c>
      <c r="H305">
        <v>2966.58</v>
      </c>
      <c r="I305" t="str">
        <f t="shared" si="8"/>
        <v>Nov</v>
      </c>
      <c r="J305" t="str">
        <f t="shared" si="9"/>
        <v>BTCUSD</v>
      </c>
    </row>
    <row r="306" spans="1:10" hidden="1" x14ac:dyDescent="0.3">
      <c r="A306" s="1">
        <v>44509</v>
      </c>
      <c r="B306" t="s">
        <v>19</v>
      </c>
      <c r="C306" t="s">
        <v>9</v>
      </c>
      <c r="D306">
        <v>68525.75</v>
      </c>
      <c r="E306">
        <v>68529.52</v>
      </c>
      <c r="F306">
        <v>66262.48</v>
      </c>
      <c r="G306">
        <v>66491.25</v>
      </c>
      <c r="H306">
        <v>1229.46</v>
      </c>
      <c r="I306" t="str">
        <f t="shared" si="8"/>
        <v>Nov</v>
      </c>
      <c r="J306" t="str">
        <f t="shared" si="9"/>
        <v>BTCUSD</v>
      </c>
    </row>
    <row r="307" spans="1:10" hidden="1" x14ac:dyDescent="0.3">
      <c r="A307" s="1">
        <v>44508</v>
      </c>
      <c r="B307" t="s">
        <v>19</v>
      </c>
      <c r="C307" t="s">
        <v>9</v>
      </c>
      <c r="D307">
        <v>65235.199999999997</v>
      </c>
      <c r="E307">
        <v>68534.11</v>
      </c>
      <c r="F307">
        <v>65138</v>
      </c>
      <c r="G307">
        <v>68525.75</v>
      </c>
      <c r="H307">
        <v>1421.08</v>
      </c>
      <c r="I307" t="str">
        <f t="shared" si="8"/>
        <v>Nov</v>
      </c>
      <c r="J307" t="str">
        <f t="shared" si="9"/>
        <v>BTCUSD</v>
      </c>
    </row>
    <row r="308" spans="1:10" hidden="1" x14ac:dyDescent="0.3">
      <c r="A308" s="1">
        <v>44507</v>
      </c>
      <c r="B308" t="s">
        <v>19</v>
      </c>
      <c r="C308" t="s">
        <v>9</v>
      </c>
      <c r="D308">
        <v>62199.69</v>
      </c>
      <c r="E308">
        <v>65680</v>
      </c>
      <c r="F308">
        <v>61537.32</v>
      </c>
      <c r="G308">
        <v>65235.199999999997</v>
      </c>
      <c r="H308">
        <v>892.82</v>
      </c>
      <c r="I308" t="str">
        <f t="shared" si="8"/>
        <v>Nov</v>
      </c>
      <c r="J308" t="str">
        <f t="shared" si="9"/>
        <v>BTCUSD</v>
      </c>
    </row>
    <row r="309" spans="1:10" hidden="1" x14ac:dyDescent="0.3">
      <c r="A309" s="1">
        <v>44506</v>
      </c>
      <c r="B309" t="s">
        <v>19</v>
      </c>
      <c r="C309" t="s">
        <v>9</v>
      </c>
      <c r="D309">
        <v>61172.03</v>
      </c>
      <c r="E309">
        <v>62338.16</v>
      </c>
      <c r="F309">
        <v>60120</v>
      </c>
      <c r="G309">
        <v>62199.69</v>
      </c>
      <c r="H309">
        <v>758.38</v>
      </c>
      <c r="I309" t="str">
        <f t="shared" si="8"/>
        <v>Nov</v>
      </c>
      <c r="J309" t="str">
        <f t="shared" si="9"/>
        <v>BTCUSD</v>
      </c>
    </row>
    <row r="310" spans="1:10" hidden="1" x14ac:dyDescent="0.3">
      <c r="A310" s="1">
        <v>44505</v>
      </c>
      <c r="B310" t="s">
        <v>19</v>
      </c>
      <c r="C310" t="s">
        <v>9</v>
      </c>
      <c r="D310">
        <v>62249.599999999999</v>
      </c>
      <c r="E310">
        <v>64000</v>
      </c>
      <c r="F310">
        <v>60777.3</v>
      </c>
      <c r="G310">
        <v>61172.03</v>
      </c>
      <c r="H310">
        <v>1043.9100000000001</v>
      </c>
      <c r="I310" t="str">
        <f t="shared" si="8"/>
        <v>Nov</v>
      </c>
      <c r="J310" t="str">
        <f t="shared" si="9"/>
        <v>BTCUSD</v>
      </c>
    </row>
    <row r="311" spans="1:10" hidden="1" x14ac:dyDescent="0.3">
      <c r="A311" s="1">
        <v>44504</v>
      </c>
      <c r="B311" t="s">
        <v>19</v>
      </c>
      <c r="C311" t="s">
        <v>9</v>
      </c>
      <c r="D311">
        <v>62469.83</v>
      </c>
      <c r="E311">
        <v>62858.83</v>
      </c>
      <c r="F311">
        <v>60724.160000000003</v>
      </c>
      <c r="G311">
        <v>62249.599999999999</v>
      </c>
      <c r="H311">
        <v>1036.53</v>
      </c>
      <c r="I311" t="str">
        <f t="shared" si="8"/>
        <v>Nov</v>
      </c>
      <c r="J311" t="str">
        <f t="shared" si="9"/>
        <v>BTCUSD</v>
      </c>
    </row>
    <row r="312" spans="1:10" hidden="1" x14ac:dyDescent="0.3">
      <c r="A312" s="1">
        <v>44503</v>
      </c>
      <c r="B312" t="s">
        <v>19</v>
      </c>
      <c r="C312" t="s">
        <v>9</v>
      </c>
      <c r="D312">
        <v>63257.57</v>
      </c>
      <c r="E312">
        <v>63547.54</v>
      </c>
      <c r="F312">
        <v>60110</v>
      </c>
      <c r="G312">
        <v>62469.83</v>
      </c>
      <c r="H312">
        <v>1448.49</v>
      </c>
      <c r="I312" t="str">
        <f t="shared" si="8"/>
        <v>Nov</v>
      </c>
      <c r="J312" t="str">
        <f t="shared" si="9"/>
        <v>BTCUSD</v>
      </c>
    </row>
    <row r="313" spans="1:10" hidden="1" x14ac:dyDescent="0.3">
      <c r="A313" s="1">
        <v>44502</v>
      </c>
      <c r="B313" t="s">
        <v>19</v>
      </c>
      <c r="C313" t="s">
        <v>9</v>
      </c>
      <c r="D313">
        <v>61133.24</v>
      </c>
      <c r="E313">
        <v>64319</v>
      </c>
      <c r="F313">
        <v>61124.5</v>
      </c>
      <c r="G313">
        <v>63257.57</v>
      </c>
      <c r="H313">
        <v>1791.9</v>
      </c>
      <c r="I313" t="str">
        <f t="shared" si="8"/>
        <v>Nov</v>
      </c>
      <c r="J313" t="str">
        <f t="shared" si="9"/>
        <v>BTCUSD</v>
      </c>
    </row>
    <row r="314" spans="1:10" hidden="1" x14ac:dyDescent="0.3">
      <c r="A314" s="1">
        <v>44501</v>
      </c>
      <c r="B314" t="s">
        <v>19</v>
      </c>
      <c r="C314" t="s">
        <v>9</v>
      </c>
      <c r="D314">
        <v>59947.01</v>
      </c>
      <c r="E314">
        <v>62490</v>
      </c>
      <c r="F314">
        <v>59490.18</v>
      </c>
      <c r="G314">
        <v>61133.24</v>
      </c>
      <c r="H314">
        <v>1488.56</v>
      </c>
      <c r="I314" t="str">
        <f t="shared" si="8"/>
        <v>Nov</v>
      </c>
      <c r="J314" t="str">
        <f t="shared" si="9"/>
        <v>BTCUSD</v>
      </c>
    </row>
    <row r="315" spans="1:10" hidden="1" x14ac:dyDescent="0.3">
      <c r="A315" s="1">
        <v>44500</v>
      </c>
      <c r="B315" t="s">
        <v>18</v>
      </c>
      <c r="C315" t="s">
        <v>9</v>
      </c>
      <c r="D315">
        <v>61719.1</v>
      </c>
      <c r="E315">
        <v>61768</v>
      </c>
      <c r="F315">
        <v>59731.57</v>
      </c>
      <c r="G315">
        <v>59947.01</v>
      </c>
      <c r="H315">
        <v>975.65</v>
      </c>
      <c r="I315" t="str">
        <f t="shared" si="8"/>
        <v>Oct</v>
      </c>
      <c r="J315" t="str">
        <f t="shared" si="9"/>
        <v>BTCUSD</v>
      </c>
    </row>
    <row r="316" spans="1:10" hidden="1" x14ac:dyDescent="0.3">
      <c r="A316" s="1">
        <v>44499</v>
      </c>
      <c r="B316" t="s">
        <v>18</v>
      </c>
      <c r="C316" t="s">
        <v>9</v>
      </c>
      <c r="D316">
        <v>61669.43</v>
      </c>
      <c r="E316">
        <v>62487.97</v>
      </c>
      <c r="F316">
        <v>60696.52</v>
      </c>
      <c r="G316">
        <v>61719.1</v>
      </c>
      <c r="H316">
        <v>1116.81</v>
      </c>
      <c r="I316" t="str">
        <f t="shared" si="8"/>
        <v>Oct</v>
      </c>
      <c r="J316" t="str">
        <f t="shared" si="9"/>
        <v>BTCUSD</v>
      </c>
    </row>
    <row r="317" spans="1:10" hidden="1" x14ac:dyDescent="0.3">
      <c r="A317" s="1">
        <v>44498</v>
      </c>
      <c r="B317" t="s">
        <v>18</v>
      </c>
      <c r="C317" t="s">
        <v>9</v>
      </c>
      <c r="D317">
        <v>61706.36</v>
      </c>
      <c r="E317">
        <v>62978</v>
      </c>
      <c r="F317">
        <v>60367</v>
      </c>
      <c r="G317">
        <v>61669.43</v>
      </c>
      <c r="H317">
        <v>1737.13</v>
      </c>
      <c r="I317" t="str">
        <f t="shared" si="8"/>
        <v>Oct</v>
      </c>
      <c r="J317" t="str">
        <f t="shared" si="9"/>
        <v>BTCUSD</v>
      </c>
    </row>
    <row r="318" spans="1:10" hidden="1" x14ac:dyDescent="0.3">
      <c r="A318" s="1">
        <v>44497</v>
      </c>
      <c r="B318" t="s">
        <v>18</v>
      </c>
      <c r="C318" t="s">
        <v>9</v>
      </c>
      <c r="D318">
        <v>58884.7</v>
      </c>
      <c r="E318">
        <v>62508.87</v>
      </c>
      <c r="F318">
        <v>57500</v>
      </c>
      <c r="G318">
        <v>61706.36</v>
      </c>
      <c r="H318">
        <v>2789.79</v>
      </c>
      <c r="I318" t="str">
        <f t="shared" si="8"/>
        <v>Oct</v>
      </c>
      <c r="J318" t="str">
        <f t="shared" si="9"/>
        <v>BTCUSD</v>
      </c>
    </row>
    <row r="319" spans="1:10" hidden="1" x14ac:dyDescent="0.3">
      <c r="A319" s="1">
        <v>44496</v>
      </c>
      <c r="B319" t="s">
        <v>18</v>
      </c>
      <c r="C319" t="s">
        <v>9</v>
      </c>
      <c r="D319">
        <v>60728</v>
      </c>
      <c r="E319">
        <v>61500</v>
      </c>
      <c r="F319">
        <v>58100</v>
      </c>
      <c r="G319">
        <v>58884.7</v>
      </c>
      <c r="H319">
        <v>1865.12</v>
      </c>
      <c r="I319" t="str">
        <f t="shared" si="8"/>
        <v>Oct</v>
      </c>
      <c r="J319" t="str">
        <f t="shared" si="9"/>
        <v>BTCUSD</v>
      </c>
    </row>
    <row r="320" spans="1:10" hidden="1" x14ac:dyDescent="0.3">
      <c r="A320" s="1">
        <v>44495</v>
      </c>
      <c r="B320" t="s">
        <v>18</v>
      </c>
      <c r="C320" t="s">
        <v>9</v>
      </c>
      <c r="D320">
        <v>62765.47</v>
      </c>
      <c r="E320">
        <v>63102.8</v>
      </c>
      <c r="F320">
        <v>59850</v>
      </c>
      <c r="G320">
        <v>60728</v>
      </c>
      <c r="H320">
        <v>1278.71</v>
      </c>
      <c r="I320" t="str">
        <f t="shared" si="8"/>
        <v>Oct</v>
      </c>
      <c r="J320" t="str">
        <f t="shared" si="9"/>
        <v>BTCUSD</v>
      </c>
    </row>
    <row r="321" spans="1:10" hidden="1" x14ac:dyDescent="0.3">
      <c r="A321" s="1">
        <v>44494</v>
      </c>
      <c r="B321" t="s">
        <v>18</v>
      </c>
      <c r="C321" t="s">
        <v>9</v>
      </c>
      <c r="D321">
        <v>62091.93</v>
      </c>
      <c r="E321">
        <v>63703.3</v>
      </c>
      <c r="F321">
        <v>61822.81</v>
      </c>
      <c r="G321">
        <v>62765.47</v>
      </c>
      <c r="H321">
        <v>1477.09</v>
      </c>
      <c r="I321" t="str">
        <f t="shared" si="8"/>
        <v>Oct</v>
      </c>
      <c r="J321" t="str">
        <f t="shared" si="9"/>
        <v>BTCUSD</v>
      </c>
    </row>
    <row r="322" spans="1:10" hidden="1" x14ac:dyDescent="0.3">
      <c r="A322" s="1">
        <v>44493</v>
      </c>
      <c r="B322" t="s">
        <v>18</v>
      </c>
      <c r="C322" t="s">
        <v>9</v>
      </c>
      <c r="D322">
        <v>61226</v>
      </c>
      <c r="E322">
        <v>62223.14</v>
      </c>
      <c r="F322">
        <v>59505</v>
      </c>
      <c r="G322">
        <v>62091.93</v>
      </c>
      <c r="H322">
        <v>848.7</v>
      </c>
      <c r="I322" t="str">
        <f t="shared" ref="I322:I385" si="10">TRIM(B322)</f>
        <v>Oct</v>
      </c>
      <c r="J322" t="str">
        <f t="shared" ref="J322:J385" si="11">TRIM(C322)</f>
        <v>BTCUSD</v>
      </c>
    </row>
    <row r="323" spans="1:10" hidden="1" x14ac:dyDescent="0.3">
      <c r="A323" s="1">
        <v>44492</v>
      </c>
      <c r="B323" t="s">
        <v>18</v>
      </c>
      <c r="C323" t="s">
        <v>9</v>
      </c>
      <c r="D323">
        <v>61234.9</v>
      </c>
      <c r="E323">
        <v>61743.51</v>
      </c>
      <c r="F323">
        <v>59648.91</v>
      </c>
      <c r="G323">
        <v>61226</v>
      </c>
      <c r="H323">
        <v>543.67999999999995</v>
      </c>
      <c r="I323" t="str">
        <f t="shared" si="10"/>
        <v>Oct</v>
      </c>
      <c r="J323" t="str">
        <f t="shared" si="11"/>
        <v>BTCUSD</v>
      </c>
    </row>
    <row r="324" spans="1:10" hidden="1" x14ac:dyDescent="0.3">
      <c r="A324" s="1">
        <v>44491</v>
      </c>
      <c r="B324" t="s">
        <v>18</v>
      </c>
      <c r="C324" t="s">
        <v>9</v>
      </c>
      <c r="D324">
        <v>63243.4</v>
      </c>
      <c r="E324">
        <v>63745.62</v>
      </c>
      <c r="F324">
        <v>60000</v>
      </c>
      <c r="G324">
        <v>61234.9</v>
      </c>
      <c r="H324">
        <v>1652.99</v>
      </c>
      <c r="I324" t="str">
        <f t="shared" si="10"/>
        <v>Oct</v>
      </c>
      <c r="J324" t="str">
        <f t="shared" si="11"/>
        <v>BTCUSD</v>
      </c>
    </row>
    <row r="325" spans="1:10" hidden="1" x14ac:dyDescent="0.3">
      <c r="A325" s="1">
        <v>44490</v>
      </c>
      <c r="B325" t="s">
        <v>18</v>
      </c>
      <c r="C325" t="s">
        <v>9</v>
      </c>
      <c r="D325">
        <v>65077.99</v>
      </c>
      <c r="E325">
        <v>66643.14</v>
      </c>
      <c r="F325">
        <v>61418.02</v>
      </c>
      <c r="G325">
        <v>63243.4</v>
      </c>
      <c r="H325">
        <v>2908.73</v>
      </c>
      <c r="I325" t="str">
        <f t="shared" si="10"/>
        <v>Oct</v>
      </c>
      <c r="J325" t="str">
        <f t="shared" si="11"/>
        <v>BTCUSD</v>
      </c>
    </row>
    <row r="326" spans="1:10" hidden="1" x14ac:dyDescent="0.3">
      <c r="A326" s="1">
        <v>44489</v>
      </c>
      <c r="B326" t="s">
        <v>18</v>
      </c>
      <c r="C326" t="s">
        <v>9</v>
      </c>
      <c r="D326">
        <v>63870.2</v>
      </c>
      <c r="E326">
        <v>66994.720000000001</v>
      </c>
      <c r="F326">
        <v>63540.51</v>
      </c>
      <c r="G326">
        <v>65077.99</v>
      </c>
      <c r="H326">
        <v>2836.59</v>
      </c>
      <c r="I326" t="str">
        <f t="shared" si="10"/>
        <v>Oct</v>
      </c>
      <c r="J326" t="str">
        <f t="shared" si="11"/>
        <v>BTCUSD</v>
      </c>
    </row>
    <row r="327" spans="1:10" hidden="1" x14ac:dyDescent="0.3">
      <c r="A327" s="1">
        <v>44488</v>
      </c>
      <c r="B327" t="s">
        <v>18</v>
      </c>
      <c r="C327" t="s">
        <v>9</v>
      </c>
      <c r="D327">
        <v>62600</v>
      </c>
      <c r="E327">
        <v>64498.12</v>
      </c>
      <c r="F327">
        <v>61312</v>
      </c>
      <c r="G327">
        <v>63870.2</v>
      </c>
      <c r="H327">
        <v>1914.15</v>
      </c>
      <c r="I327" t="str">
        <f t="shared" si="10"/>
        <v>Oct</v>
      </c>
      <c r="J327" t="str">
        <f t="shared" si="11"/>
        <v>BTCUSD</v>
      </c>
    </row>
    <row r="328" spans="1:10" hidden="1" x14ac:dyDescent="0.3">
      <c r="A328" s="1">
        <v>44487</v>
      </c>
      <c r="B328" t="s">
        <v>18</v>
      </c>
      <c r="C328" t="s">
        <v>9</v>
      </c>
      <c r="D328">
        <v>62100</v>
      </c>
      <c r="E328">
        <v>62973.38</v>
      </c>
      <c r="F328">
        <v>59926.13</v>
      </c>
      <c r="G328">
        <v>62600</v>
      </c>
      <c r="H328">
        <v>2631.53</v>
      </c>
      <c r="I328" t="str">
        <f t="shared" si="10"/>
        <v>Oct</v>
      </c>
      <c r="J328" t="str">
        <f t="shared" si="11"/>
        <v>BTCUSD</v>
      </c>
    </row>
    <row r="329" spans="1:10" hidden="1" x14ac:dyDescent="0.3">
      <c r="A329" s="1">
        <v>44486</v>
      </c>
      <c r="B329" t="s">
        <v>18</v>
      </c>
      <c r="C329" t="s">
        <v>9</v>
      </c>
      <c r="D329">
        <v>61144.42</v>
      </c>
      <c r="E329">
        <v>62552.73</v>
      </c>
      <c r="F329">
        <v>58937.03</v>
      </c>
      <c r="G329">
        <v>62100</v>
      </c>
      <c r="H329">
        <v>929.51</v>
      </c>
      <c r="I329" t="str">
        <f t="shared" si="10"/>
        <v>Oct</v>
      </c>
      <c r="J329" t="str">
        <f t="shared" si="11"/>
        <v>BTCUSD</v>
      </c>
    </row>
    <row r="330" spans="1:10" hidden="1" x14ac:dyDescent="0.3">
      <c r="A330" s="1">
        <v>44485</v>
      </c>
      <c r="B330" t="s">
        <v>18</v>
      </c>
      <c r="C330" t="s">
        <v>9</v>
      </c>
      <c r="D330">
        <v>61624.84</v>
      </c>
      <c r="E330">
        <v>62366.080000000002</v>
      </c>
      <c r="F330">
        <v>60174.14</v>
      </c>
      <c r="G330">
        <v>61144.42</v>
      </c>
      <c r="H330">
        <v>864.57</v>
      </c>
      <c r="I330" t="str">
        <f t="shared" si="10"/>
        <v>Oct</v>
      </c>
      <c r="J330" t="str">
        <f t="shared" si="11"/>
        <v>BTCUSD</v>
      </c>
    </row>
    <row r="331" spans="1:10" hidden="1" x14ac:dyDescent="0.3">
      <c r="A331" s="1">
        <v>44484</v>
      </c>
      <c r="B331" t="s">
        <v>18</v>
      </c>
      <c r="C331" t="s">
        <v>9</v>
      </c>
      <c r="D331">
        <v>59407.55</v>
      </c>
      <c r="E331">
        <v>62898</v>
      </c>
      <c r="F331">
        <v>58768.79</v>
      </c>
      <c r="G331">
        <v>61624.84</v>
      </c>
      <c r="H331">
        <v>3069.46</v>
      </c>
      <c r="I331" t="str">
        <f t="shared" si="10"/>
        <v>Oct</v>
      </c>
      <c r="J331" t="str">
        <f t="shared" si="11"/>
        <v>BTCUSD</v>
      </c>
    </row>
    <row r="332" spans="1:10" hidden="1" x14ac:dyDescent="0.3">
      <c r="A332" s="1">
        <v>44483</v>
      </c>
      <c r="B332" t="s">
        <v>18</v>
      </c>
      <c r="C332" t="s">
        <v>9</v>
      </c>
      <c r="D332">
        <v>58073.82</v>
      </c>
      <c r="E332">
        <v>59450</v>
      </c>
      <c r="F332">
        <v>56807.96</v>
      </c>
      <c r="G332">
        <v>59407.55</v>
      </c>
      <c r="H332">
        <v>1166.8900000000001</v>
      </c>
      <c r="I332" t="str">
        <f t="shared" si="10"/>
        <v>Oct</v>
      </c>
      <c r="J332" t="str">
        <f t="shared" si="11"/>
        <v>BTCUSD</v>
      </c>
    </row>
    <row r="333" spans="1:10" hidden="1" x14ac:dyDescent="0.3">
      <c r="A333" s="1">
        <v>44482</v>
      </c>
      <c r="B333" t="s">
        <v>18</v>
      </c>
      <c r="C333" t="s">
        <v>9</v>
      </c>
      <c r="D333">
        <v>56289.06</v>
      </c>
      <c r="E333">
        <v>58500.02</v>
      </c>
      <c r="F333">
        <v>54250</v>
      </c>
      <c r="G333">
        <v>58073.82</v>
      </c>
      <c r="H333">
        <v>1574.7</v>
      </c>
      <c r="I333" t="str">
        <f t="shared" si="10"/>
        <v>Oct</v>
      </c>
      <c r="J333" t="str">
        <f t="shared" si="11"/>
        <v>BTCUSD</v>
      </c>
    </row>
    <row r="334" spans="1:10" hidden="1" x14ac:dyDescent="0.3">
      <c r="A334" s="1">
        <v>44481</v>
      </c>
      <c r="B334" t="s">
        <v>18</v>
      </c>
      <c r="C334" t="s">
        <v>9</v>
      </c>
      <c r="D334">
        <v>56710</v>
      </c>
      <c r="E334">
        <v>57688.88</v>
      </c>
      <c r="F334">
        <v>53911.79</v>
      </c>
      <c r="G334">
        <v>56289.06</v>
      </c>
      <c r="H334">
        <v>1713.92</v>
      </c>
      <c r="I334" t="str">
        <f t="shared" si="10"/>
        <v>Oct</v>
      </c>
      <c r="J334" t="str">
        <f t="shared" si="11"/>
        <v>BTCUSD</v>
      </c>
    </row>
    <row r="335" spans="1:10" hidden="1" x14ac:dyDescent="0.3">
      <c r="A335" s="1">
        <v>44480</v>
      </c>
      <c r="B335" t="s">
        <v>18</v>
      </c>
      <c r="C335" t="s">
        <v>9</v>
      </c>
      <c r="D335">
        <v>56520.58</v>
      </c>
      <c r="E335">
        <v>58000</v>
      </c>
      <c r="F335">
        <v>55838.77</v>
      </c>
      <c r="G335">
        <v>56710</v>
      </c>
      <c r="H335">
        <v>1027.9100000000001</v>
      </c>
      <c r="I335" t="str">
        <f t="shared" si="10"/>
        <v>Oct</v>
      </c>
      <c r="J335" t="str">
        <f t="shared" si="11"/>
        <v>BTCUSD</v>
      </c>
    </row>
    <row r="336" spans="1:10" hidden="1" x14ac:dyDescent="0.3">
      <c r="A336" s="1">
        <v>44479</v>
      </c>
      <c r="B336" t="s">
        <v>18</v>
      </c>
      <c r="C336" t="s">
        <v>9</v>
      </c>
      <c r="D336">
        <v>55043.76</v>
      </c>
      <c r="E336">
        <v>56759.01</v>
      </c>
      <c r="F336">
        <v>54376.52</v>
      </c>
      <c r="G336">
        <v>56520.58</v>
      </c>
      <c r="H336">
        <v>1166.24</v>
      </c>
      <c r="I336" t="str">
        <f t="shared" si="10"/>
        <v>Oct</v>
      </c>
      <c r="J336" t="str">
        <f t="shared" si="11"/>
        <v>BTCUSD</v>
      </c>
    </row>
    <row r="337" spans="1:10" hidden="1" x14ac:dyDescent="0.3">
      <c r="A337" s="1">
        <v>44478</v>
      </c>
      <c r="B337" t="s">
        <v>18</v>
      </c>
      <c r="C337" t="s">
        <v>9</v>
      </c>
      <c r="D337">
        <v>54588</v>
      </c>
      <c r="E337">
        <v>55486.87</v>
      </c>
      <c r="F337">
        <v>54115.27</v>
      </c>
      <c r="G337">
        <v>55043.76</v>
      </c>
      <c r="H337">
        <v>707.72</v>
      </c>
      <c r="I337" t="str">
        <f t="shared" si="10"/>
        <v>Oct</v>
      </c>
      <c r="J337" t="str">
        <f t="shared" si="11"/>
        <v>BTCUSD</v>
      </c>
    </row>
    <row r="338" spans="1:10" hidden="1" x14ac:dyDescent="0.3">
      <c r="A338" s="1">
        <v>44477</v>
      </c>
      <c r="B338" t="s">
        <v>18</v>
      </c>
      <c r="C338" t="s">
        <v>9</v>
      </c>
      <c r="D338">
        <v>53826.69</v>
      </c>
      <c r="E338">
        <v>56150.58</v>
      </c>
      <c r="F338">
        <v>53655</v>
      </c>
      <c r="G338">
        <v>54588</v>
      </c>
      <c r="H338">
        <v>1485.78</v>
      </c>
      <c r="I338" t="str">
        <f t="shared" si="10"/>
        <v>Oct</v>
      </c>
      <c r="J338" t="str">
        <f t="shared" si="11"/>
        <v>BTCUSD</v>
      </c>
    </row>
    <row r="339" spans="1:10" hidden="1" x14ac:dyDescent="0.3">
      <c r="A339" s="1">
        <v>44476</v>
      </c>
      <c r="B339" t="s">
        <v>18</v>
      </c>
      <c r="C339" t="s">
        <v>9</v>
      </c>
      <c r="D339">
        <v>54838.9</v>
      </c>
      <c r="E339">
        <v>55231.53</v>
      </c>
      <c r="F339">
        <v>53366</v>
      </c>
      <c r="G339">
        <v>53826.69</v>
      </c>
      <c r="H339">
        <v>1338.83</v>
      </c>
      <c r="I339" t="str">
        <f t="shared" si="10"/>
        <v>Oct</v>
      </c>
      <c r="J339" t="str">
        <f t="shared" si="11"/>
        <v>BTCUSD</v>
      </c>
    </row>
    <row r="340" spans="1:10" hidden="1" x14ac:dyDescent="0.3">
      <c r="A340" s="1">
        <v>44475</v>
      </c>
      <c r="B340" t="s">
        <v>18</v>
      </c>
      <c r="C340" t="s">
        <v>9</v>
      </c>
      <c r="D340">
        <v>51561.599999999999</v>
      </c>
      <c r="E340">
        <v>55800</v>
      </c>
      <c r="F340">
        <v>50410</v>
      </c>
      <c r="G340">
        <v>54838.9</v>
      </c>
      <c r="H340">
        <v>3288.23</v>
      </c>
      <c r="I340" t="str">
        <f t="shared" si="10"/>
        <v>Oct</v>
      </c>
      <c r="J340" t="str">
        <f t="shared" si="11"/>
        <v>BTCUSD</v>
      </c>
    </row>
    <row r="341" spans="1:10" hidden="1" x14ac:dyDescent="0.3">
      <c r="A341" s="1">
        <v>44474</v>
      </c>
      <c r="B341" t="s">
        <v>18</v>
      </c>
      <c r="C341" t="s">
        <v>9</v>
      </c>
      <c r="D341">
        <v>49320.94</v>
      </c>
      <c r="E341">
        <v>51927.83</v>
      </c>
      <c r="F341">
        <v>49108.3</v>
      </c>
      <c r="G341">
        <v>51561.599999999999</v>
      </c>
      <c r="H341">
        <v>1691.52</v>
      </c>
      <c r="I341" t="str">
        <f t="shared" si="10"/>
        <v>Oct</v>
      </c>
      <c r="J341" t="str">
        <f t="shared" si="11"/>
        <v>BTCUSD</v>
      </c>
    </row>
    <row r="342" spans="1:10" hidden="1" x14ac:dyDescent="0.3">
      <c r="A342" s="1">
        <v>44473</v>
      </c>
      <c r="B342" t="s">
        <v>18</v>
      </c>
      <c r="C342" t="s">
        <v>9</v>
      </c>
      <c r="D342">
        <v>47509.65</v>
      </c>
      <c r="E342">
        <v>49789.33</v>
      </c>
      <c r="F342">
        <v>46926.68</v>
      </c>
      <c r="G342">
        <v>49320.94</v>
      </c>
      <c r="H342">
        <v>1755.41</v>
      </c>
      <c r="I342" t="str">
        <f t="shared" si="10"/>
        <v>Oct</v>
      </c>
      <c r="J342" t="str">
        <f t="shared" si="11"/>
        <v>BTCUSD</v>
      </c>
    </row>
    <row r="343" spans="1:10" hidden="1" x14ac:dyDescent="0.3">
      <c r="A343" s="1">
        <v>44472</v>
      </c>
      <c r="B343" t="s">
        <v>18</v>
      </c>
      <c r="C343" t="s">
        <v>9</v>
      </c>
      <c r="D343">
        <v>47899.79</v>
      </c>
      <c r="E343">
        <v>49259.3</v>
      </c>
      <c r="F343">
        <v>47372.35</v>
      </c>
      <c r="G343">
        <v>47509.65</v>
      </c>
      <c r="H343">
        <v>864.8</v>
      </c>
      <c r="I343" t="str">
        <f t="shared" si="10"/>
        <v>Oct</v>
      </c>
      <c r="J343" t="str">
        <f t="shared" si="11"/>
        <v>BTCUSD</v>
      </c>
    </row>
    <row r="344" spans="1:10" hidden="1" x14ac:dyDescent="0.3">
      <c r="A344" s="1">
        <v>44471</v>
      </c>
      <c r="B344" t="s">
        <v>18</v>
      </c>
      <c r="C344" t="s">
        <v>9</v>
      </c>
      <c r="D344">
        <v>47555.51</v>
      </c>
      <c r="E344">
        <v>48346.7</v>
      </c>
      <c r="F344">
        <v>47144</v>
      </c>
      <c r="G344">
        <v>47899.79</v>
      </c>
      <c r="H344">
        <v>761.86</v>
      </c>
      <c r="I344" t="str">
        <f t="shared" si="10"/>
        <v>Oct</v>
      </c>
      <c r="J344" t="str">
        <f t="shared" si="11"/>
        <v>BTCUSD</v>
      </c>
    </row>
    <row r="345" spans="1:10" hidden="1" x14ac:dyDescent="0.3">
      <c r="A345" s="1">
        <v>44470</v>
      </c>
      <c r="B345" t="s">
        <v>18</v>
      </c>
      <c r="C345" t="s">
        <v>9</v>
      </c>
      <c r="D345">
        <v>43628.160000000003</v>
      </c>
      <c r="E345">
        <v>48495.68</v>
      </c>
      <c r="F345">
        <v>43472.59</v>
      </c>
      <c r="G345">
        <v>47555.51</v>
      </c>
      <c r="H345">
        <v>3254.02</v>
      </c>
      <c r="I345" t="str">
        <f t="shared" si="10"/>
        <v>Oct</v>
      </c>
      <c r="J345" t="str">
        <f t="shared" si="11"/>
        <v>BTCUSD</v>
      </c>
    </row>
    <row r="346" spans="1:10" hidden="1" x14ac:dyDescent="0.3">
      <c r="A346" s="1">
        <v>44469</v>
      </c>
      <c r="B346" t="s">
        <v>17</v>
      </c>
      <c r="C346" t="s">
        <v>9</v>
      </c>
      <c r="D346">
        <v>43601.2</v>
      </c>
      <c r="E346">
        <v>44097.7</v>
      </c>
      <c r="F346">
        <v>42702.71</v>
      </c>
      <c r="G346">
        <v>43628.160000000003</v>
      </c>
      <c r="H346">
        <v>1891.52</v>
      </c>
      <c r="I346" t="str">
        <f t="shared" si="10"/>
        <v>Sep</v>
      </c>
      <c r="J346" t="str">
        <f t="shared" si="11"/>
        <v>BTCUSD</v>
      </c>
    </row>
    <row r="347" spans="1:10" hidden="1" x14ac:dyDescent="0.3">
      <c r="A347" s="1">
        <v>44468</v>
      </c>
      <c r="B347" t="s">
        <v>17</v>
      </c>
      <c r="C347" t="s">
        <v>9</v>
      </c>
      <c r="D347">
        <v>42210.47</v>
      </c>
      <c r="E347">
        <v>43726.63</v>
      </c>
      <c r="F347">
        <v>40908.410000000003</v>
      </c>
      <c r="G347">
        <v>43601.2</v>
      </c>
      <c r="H347">
        <v>1511.58</v>
      </c>
      <c r="I347" t="str">
        <f t="shared" si="10"/>
        <v>Sep</v>
      </c>
      <c r="J347" t="str">
        <f t="shared" si="11"/>
        <v>BTCUSD</v>
      </c>
    </row>
    <row r="348" spans="1:10" hidden="1" x14ac:dyDescent="0.3">
      <c r="A348" s="1">
        <v>44467</v>
      </c>
      <c r="B348" t="s">
        <v>17</v>
      </c>
      <c r="C348" t="s">
        <v>9</v>
      </c>
      <c r="D348">
        <v>42565.16</v>
      </c>
      <c r="E348">
        <v>42771.12</v>
      </c>
      <c r="F348">
        <v>40764.26</v>
      </c>
      <c r="G348">
        <v>42210.47</v>
      </c>
      <c r="H348">
        <v>2104.5</v>
      </c>
      <c r="I348" t="str">
        <f t="shared" si="10"/>
        <v>Sep</v>
      </c>
      <c r="J348" t="str">
        <f t="shared" si="11"/>
        <v>BTCUSD</v>
      </c>
    </row>
    <row r="349" spans="1:10" hidden="1" x14ac:dyDescent="0.3">
      <c r="A349" s="1">
        <v>44466</v>
      </c>
      <c r="B349" t="s">
        <v>17</v>
      </c>
      <c r="C349" t="s">
        <v>9</v>
      </c>
      <c r="D349">
        <v>44024.27</v>
      </c>
      <c r="E349">
        <v>44250.76</v>
      </c>
      <c r="F349">
        <v>41980.4</v>
      </c>
      <c r="G349">
        <v>42565.16</v>
      </c>
      <c r="H349">
        <v>1531.06</v>
      </c>
      <c r="I349" t="str">
        <f t="shared" si="10"/>
        <v>Sep</v>
      </c>
      <c r="J349" t="str">
        <f t="shared" si="11"/>
        <v>BTCUSD</v>
      </c>
    </row>
    <row r="350" spans="1:10" hidden="1" x14ac:dyDescent="0.3">
      <c r="A350" s="1">
        <v>44465</v>
      </c>
      <c r="B350" t="s">
        <v>17</v>
      </c>
      <c r="C350" t="s">
        <v>9</v>
      </c>
      <c r="D350">
        <v>42239.94</v>
      </c>
      <c r="E350">
        <v>44350</v>
      </c>
      <c r="F350">
        <v>40801.19</v>
      </c>
      <c r="G350">
        <v>44024.27</v>
      </c>
      <c r="H350">
        <v>1395.68</v>
      </c>
      <c r="I350" t="str">
        <f t="shared" si="10"/>
        <v>Sep</v>
      </c>
      <c r="J350" t="str">
        <f t="shared" si="11"/>
        <v>BTCUSD</v>
      </c>
    </row>
    <row r="351" spans="1:10" hidden="1" x14ac:dyDescent="0.3">
      <c r="A351" s="1">
        <v>44464</v>
      </c>
      <c r="B351" t="s">
        <v>17</v>
      </c>
      <c r="C351" t="s">
        <v>9</v>
      </c>
      <c r="D351">
        <v>42650</v>
      </c>
      <c r="E351">
        <v>42985.06</v>
      </c>
      <c r="F351">
        <v>41677.82</v>
      </c>
      <c r="G351">
        <v>42239.94</v>
      </c>
      <c r="H351">
        <v>1058.07</v>
      </c>
      <c r="I351" t="str">
        <f t="shared" si="10"/>
        <v>Sep</v>
      </c>
      <c r="J351" t="str">
        <f t="shared" si="11"/>
        <v>BTCUSD</v>
      </c>
    </row>
    <row r="352" spans="1:10" hidden="1" x14ac:dyDescent="0.3">
      <c r="A352" s="1">
        <v>44463</v>
      </c>
      <c r="B352" t="s">
        <v>17</v>
      </c>
      <c r="C352" t="s">
        <v>9</v>
      </c>
      <c r="D352">
        <v>44301</v>
      </c>
      <c r="E352">
        <v>45157.81</v>
      </c>
      <c r="F352">
        <v>40696</v>
      </c>
      <c r="G352">
        <v>42650</v>
      </c>
      <c r="H352">
        <v>4398.2700000000004</v>
      </c>
      <c r="I352" t="str">
        <f t="shared" si="10"/>
        <v>Sep</v>
      </c>
      <c r="J352" t="str">
        <f t="shared" si="11"/>
        <v>BTCUSD</v>
      </c>
    </row>
    <row r="353" spans="1:10" hidden="1" x14ac:dyDescent="0.3">
      <c r="A353" s="1">
        <v>44462</v>
      </c>
      <c r="B353" t="s">
        <v>17</v>
      </c>
      <c r="C353" t="s">
        <v>9</v>
      </c>
      <c r="D353">
        <v>44094.55</v>
      </c>
      <c r="E353">
        <v>45062.97</v>
      </c>
      <c r="F353">
        <v>43389.94</v>
      </c>
      <c r="G353">
        <v>44301</v>
      </c>
      <c r="H353">
        <v>1699.82</v>
      </c>
      <c r="I353" t="str">
        <f t="shared" si="10"/>
        <v>Sep</v>
      </c>
      <c r="J353" t="str">
        <f t="shared" si="11"/>
        <v>BTCUSD</v>
      </c>
    </row>
    <row r="354" spans="1:10" hidden="1" x14ac:dyDescent="0.3">
      <c r="A354" s="1">
        <v>44461</v>
      </c>
      <c r="B354" t="s">
        <v>17</v>
      </c>
      <c r="C354" t="s">
        <v>9</v>
      </c>
      <c r="D354">
        <v>42089.88</v>
      </c>
      <c r="E354">
        <v>44231.92</v>
      </c>
      <c r="F354">
        <v>41836.589999999997</v>
      </c>
      <c r="G354">
        <v>44094.55</v>
      </c>
      <c r="H354">
        <v>1238.6099999999999</v>
      </c>
      <c r="I354" t="str">
        <f t="shared" si="10"/>
        <v>Sep</v>
      </c>
      <c r="J354" t="str">
        <f t="shared" si="11"/>
        <v>BTCUSD</v>
      </c>
    </row>
    <row r="355" spans="1:10" hidden="1" x14ac:dyDescent="0.3">
      <c r="A355" s="1">
        <v>44460</v>
      </c>
      <c r="B355" t="s">
        <v>17</v>
      </c>
      <c r="C355" t="s">
        <v>9</v>
      </c>
      <c r="D355">
        <v>42688.03</v>
      </c>
      <c r="E355">
        <v>43655.53</v>
      </c>
      <c r="F355">
        <v>39590</v>
      </c>
      <c r="G355">
        <v>42089.88</v>
      </c>
      <c r="H355">
        <v>2962.61</v>
      </c>
      <c r="I355" t="str">
        <f t="shared" si="10"/>
        <v>Sep</v>
      </c>
      <c r="J355" t="str">
        <f t="shared" si="11"/>
        <v>BTCUSD</v>
      </c>
    </row>
    <row r="356" spans="1:10" hidden="1" x14ac:dyDescent="0.3">
      <c r="A356" s="1">
        <v>44459</v>
      </c>
      <c r="B356" t="s">
        <v>17</v>
      </c>
      <c r="C356" t="s">
        <v>9</v>
      </c>
      <c r="D356">
        <v>45553.62</v>
      </c>
      <c r="E356">
        <v>45837.9</v>
      </c>
      <c r="F356">
        <v>40137.980000000003</v>
      </c>
      <c r="G356">
        <v>42688.03</v>
      </c>
      <c r="H356">
        <v>4373.38</v>
      </c>
      <c r="I356" t="str">
        <f t="shared" si="10"/>
        <v>Sep</v>
      </c>
      <c r="J356" t="str">
        <f t="shared" si="11"/>
        <v>BTCUSD</v>
      </c>
    </row>
    <row r="357" spans="1:10" hidden="1" x14ac:dyDescent="0.3">
      <c r="A357" s="1">
        <v>44458</v>
      </c>
      <c r="B357" t="s">
        <v>17</v>
      </c>
      <c r="C357" t="s">
        <v>9</v>
      </c>
      <c r="D357">
        <v>47854.23</v>
      </c>
      <c r="E357">
        <v>48333.32</v>
      </c>
      <c r="F357">
        <v>45175.199999999997</v>
      </c>
      <c r="G357">
        <v>45553.62</v>
      </c>
      <c r="H357">
        <v>860.71</v>
      </c>
      <c r="I357" t="str">
        <f t="shared" si="10"/>
        <v>Sep</v>
      </c>
      <c r="J357" t="str">
        <f t="shared" si="11"/>
        <v>BTCUSD</v>
      </c>
    </row>
    <row r="358" spans="1:10" hidden="1" x14ac:dyDescent="0.3">
      <c r="A358" s="1">
        <v>44457</v>
      </c>
      <c r="B358" t="s">
        <v>17</v>
      </c>
      <c r="C358" t="s">
        <v>9</v>
      </c>
      <c r="D358">
        <v>47962.79</v>
      </c>
      <c r="E358">
        <v>48808.97</v>
      </c>
      <c r="F358">
        <v>47613.93</v>
      </c>
      <c r="G358">
        <v>47854.23</v>
      </c>
      <c r="H358">
        <v>671.36</v>
      </c>
      <c r="I358" t="str">
        <f t="shared" si="10"/>
        <v>Sep</v>
      </c>
      <c r="J358" t="str">
        <f t="shared" si="11"/>
        <v>BTCUSD</v>
      </c>
    </row>
    <row r="359" spans="1:10" hidden="1" x14ac:dyDescent="0.3">
      <c r="A359" s="1">
        <v>44456</v>
      </c>
      <c r="B359" t="s">
        <v>17</v>
      </c>
      <c r="C359" t="s">
        <v>9</v>
      </c>
      <c r="D359">
        <v>47907</v>
      </c>
      <c r="E359">
        <v>48165.96</v>
      </c>
      <c r="F359">
        <v>46754.93</v>
      </c>
      <c r="G359">
        <v>47962.79</v>
      </c>
      <c r="H359">
        <v>1247.3800000000001</v>
      </c>
      <c r="I359" t="str">
        <f t="shared" si="10"/>
        <v>Sep</v>
      </c>
      <c r="J359" t="str">
        <f t="shared" si="11"/>
        <v>BTCUSD</v>
      </c>
    </row>
    <row r="360" spans="1:10" hidden="1" x14ac:dyDescent="0.3">
      <c r="A360" s="1">
        <v>44455</v>
      </c>
      <c r="B360" t="s">
        <v>17</v>
      </c>
      <c r="C360" t="s">
        <v>9</v>
      </c>
      <c r="D360">
        <v>47629.1</v>
      </c>
      <c r="E360">
        <v>48500</v>
      </c>
      <c r="F360">
        <v>47041.24</v>
      </c>
      <c r="G360">
        <v>47907</v>
      </c>
      <c r="H360">
        <v>1069.57</v>
      </c>
      <c r="I360" t="str">
        <f t="shared" si="10"/>
        <v>Sep</v>
      </c>
      <c r="J360" t="str">
        <f t="shared" si="11"/>
        <v>BTCUSD</v>
      </c>
    </row>
    <row r="361" spans="1:10" hidden="1" x14ac:dyDescent="0.3">
      <c r="A361" s="1">
        <v>44454</v>
      </c>
      <c r="B361" t="s">
        <v>17</v>
      </c>
      <c r="C361" t="s">
        <v>9</v>
      </c>
      <c r="D361">
        <v>47101.27</v>
      </c>
      <c r="E361">
        <v>48455.16</v>
      </c>
      <c r="F361">
        <v>46730.15</v>
      </c>
      <c r="G361">
        <v>47629.1</v>
      </c>
      <c r="H361">
        <v>1276.6199999999999</v>
      </c>
      <c r="I361" t="str">
        <f t="shared" si="10"/>
        <v>Sep</v>
      </c>
      <c r="J361" t="str">
        <f t="shared" si="11"/>
        <v>BTCUSD</v>
      </c>
    </row>
    <row r="362" spans="1:10" hidden="1" x14ac:dyDescent="0.3">
      <c r="A362" s="1">
        <v>44453</v>
      </c>
      <c r="B362" t="s">
        <v>17</v>
      </c>
      <c r="C362" t="s">
        <v>9</v>
      </c>
      <c r="D362">
        <v>45206.43</v>
      </c>
      <c r="E362">
        <v>47498.54</v>
      </c>
      <c r="F362">
        <v>45067.51</v>
      </c>
      <c r="G362">
        <v>47101.27</v>
      </c>
      <c r="H362">
        <v>1516.06</v>
      </c>
      <c r="I362" t="str">
        <f t="shared" si="10"/>
        <v>Sep</v>
      </c>
      <c r="J362" t="str">
        <f t="shared" si="11"/>
        <v>BTCUSD</v>
      </c>
    </row>
    <row r="363" spans="1:10" hidden="1" x14ac:dyDescent="0.3">
      <c r="A363" s="1">
        <v>44452</v>
      </c>
      <c r="B363" t="s">
        <v>17</v>
      </c>
      <c r="C363" t="s">
        <v>9</v>
      </c>
      <c r="D363">
        <v>44619.12</v>
      </c>
      <c r="E363">
        <v>46897</v>
      </c>
      <c r="F363">
        <v>43400</v>
      </c>
      <c r="G363">
        <v>45206.43</v>
      </c>
      <c r="H363">
        <v>2422.25</v>
      </c>
      <c r="I363" t="str">
        <f t="shared" si="10"/>
        <v>Sep</v>
      </c>
      <c r="J363" t="str">
        <f t="shared" si="11"/>
        <v>BTCUSD</v>
      </c>
    </row>
    <row r="364" spans="1:10" hidden="1" x14ac:dyDescent="0.3">
      <c r="A364" s="1">
        <v>44451</v>
      </c>
      <c r="B364" t="s">
        <v>17</v>
      </c>
      <c r="C364" t="s">
        <v>9</v>
      </c>
      <c r="D364">
        <v>45311.46</v>
      </c>
      <c r="E364">
        <v>46504.62</v>
      </c>
      <c r="F364">
        <v>44535.26</v>
      </c>
      <c r="G364">
        <v>44619.12</v>
      </c>
      <c r="H364">
        <v>893.38</v>
      </c>
      <c r="I364" t="str">
        <f t="shared" si="10"/>
        <v>Sep</v>
      </c>
      <c r="J364" t="str">
        <f t="shared" si="11"/>
        <v>BTCUSD</v>
      </c>
    </row>
    <row r="365" spans="1:10" hidden="1" x14ac:dyDescent="0.3">
      <c r="A365" s="1">
        <v>44450</v>
      </c>
      <c r="B365" t="s">
        <v>17</v>
      </c>
      <c r="C365" t="s">
        <v>9</v>
      </c>
      <c r="D365">
        <v>45181.52</v>
      </c>
      <c r="E365">
        <v>46001.33</v>
      </c>
      <c r="F365">
        <v>44758.59</v>
      </c>
      <c r="G365">
        <v>45311.46</v>
      </c>
      <c r="H365">
        <v>685.32</v>
      </c>
      <c r="I365" t="str">
        <f t="shared" si="10"/>
        <v>Sep</v>
      </c>
      <c r="J365" t="str">
        <f t="shared" si="11"/>
        <v>BTCUSD</v>
      </c>
    </row>
    <row r="366" spans="1:10" hidden="1" x14ac:dyDescent="0.3">
      <c r="A366" s="1">
        <v>44449</v>
      </c>
      <c r="B366" t="s">
        <v>17</v>
      </c>
      <c r="C366" t="s">
        <v>9</v>
      </c>
      <c r="D366">
        <v>46743.4</v>
      </c>
      <c r="E366">
        <v>46812.87</v>
      </c>
      <c r="F366">
        <v>44156.88</v>
      </c>
      <c r="G366">
        <v>45181.52</v>
      </c>
      <c r="H366">
        <v>1783.43</v>
      </c>
      <c r="I366" t="str">
        <f t="shared" si="10"/>
        <v>Sep</v>
      </c>
      <c r="J366" t="str">
        <f t="shared" si="11"/>
        <v>BTCUSD</v>
      </c>
    </row>
    <row r="367" spans="1:10" hidden="1" x14ac:dyDescent="0.3">
      <c r="A367" s="1">
        <v>44448</v>
      </c>
      <c r="B367" t="s">
        <v>17</v>
      </c>
      <c r="C367" t="s">
        <v>9</v>
      </c>
      <c r="D367">
        <v>46005.27</v>
      </c>
      <c r="E367">
        <v>47396.38</v>
      </c>
      <c r="F367">
        <v>45651.86</v>
      </c>
      <c r="G367">
        <v>46743.4</v>
      </c>
      <c r="H367">
        <v>1563.22</v>
      </c>
      <c r="I367" t="str">
        <f t="shared" si="10"/>
        <v>Sep</v>
      </c>
      <c r="J367" t="str">
        <f t="shared" si="11"/>
        <v>BTCUSD</v>
      </c>
    </row>
    <row r="368" spans="1:10" hidden="1" x14ac:dyDescent="0.3">
      <c r="A368" s="1">
        <v>44447</v>
      </c>
      <c r="B368" t="s">
        <v>17</v>
      </c>
      <c r="C368" t="s">
        <v>9</v>
      </c>
      <c r="D368">
        <v>46490.38</v>
      </c>
      <c r="E368">
        <v>46885.38</v>
      </c>
      <c r="F368">
        <v>44419.5</v>
      </c>
      <c r="G368">
        <v>46005.27</v>
      </c>
      <c r="H368">
        <v>2277.31</v>
      </c>
      <c r="I368" t="str">
        <f t="shared" si="10"/>
        <v>Sep</v>
      </c>
      <c r="J368" t="str">
        <f t="shared" si="11"/>
        <v>BTCUSD</v>
      </c>
    </row>
    <row r="369" spans="1:10" hidden="1" x14ac:dyDescent="0.3">
      <c r="A369" s="1">
        <v>44446</v>
      </c>
      <c r="B369" t="s">
        <v>17</v>
      </c>
      <c r="C369" t="s">
        <v>9</v>
      </c>
      <c r="D369">
        <v>52663.45</v>
      </c>
      <c r="E369">
        <v>52744.480000000003</v>
      </c>
      <c r="F369">
        <v>42600</v>
      </c>
      <c r="G369">
        <v>46490.38</v>
      </c>
      <c r="H369">
        <v>4513.57</v>
      </c>
      <c r="I369" t="str">
        <f t="shared" si="10"/>
        <v>Sep</v>
      </c>
      <c r="J369" t="str">
        <f t="shared" si="11"/>
        <v>BTCUSD</v>
      </c>
    </row>
    <row r="370" spans="1:10" hidden="1" x14ac:dyDescent="0.3">
      <c r="A370" s="1">
        <v>44445</v>
      </c>
      <c r="B370" t="s">
        <v>17</v>
      </c>
      <c r="C370" t="s">
        <v>9</v>
      </c>
      <c r="D370">
        <v>51638.18</v>
      </c>
      <c r="E370">
        <v>52938.78</v>
      </c>
      <c r="F370">
        <v>51003.37</v>
      </c>
      <c r="G370">
        <v>52663.45</v>
      </c>
      <c r="H370">
        <v>1408.74</v>
      </c>
      <c r="I370" t="str">
        <f t="shared" si="10"/>
        <v>Sep</v>
      </c>
      <c r="J370" t="str">
        <f t="shared" si="11"/>
        <v>BTCUSD</v>
      </c>
    </row>
    <row r="371" spans="1:10" hidden="1" x14ac:dyDescent="0.3">
      <c r="A371" s="1">
        <v>44444</v>
      </c>
      <c r="B371" t="s">
        <v>17</v>
      </c>
      <c r="C371" t="s">
        <v>9</v>
      </c>
      <c r="D371">
        <v>49692.22</v>
      </c>
      <c r="E371">
        <v>51962.68</v>
      </c>
      <c r="F371">
        <v>49505.43</v>
      </c>
      <c r="G371">
        <v>51638.18</v>
      </c>
      <c r="H371">
        <v>1231.1400000000001</v>
      </c>
      <c r="I371" t="str">
        <f t="shared" si="10"/>
        <v>Sep</v>
      </c>
      <c r="J371" t="str">
        <f t="shared" si="11"/>
        <v>BTCUSD</v>
      </c>
    </row>
    <row r="372" spans="1:10" hidden="1" x14ac:dyDescent="0.3">
      <c r="A372" s="1">
        <v>44443</v>
      </c>
      <c r="B372" t="s">
        <v>17</v>
      </c>
      <c r="C372" t="s">
        <v>9</v>
      </c>
      <c r="D372">
        <v>50292.02</v>
      </c>
      <c r="E372">
        <v>50545.41</v>
      </c>
      <c r="F372">
        <v>49414.36</v>
      </c>
      <c r="G372">
        <v>49692.22</v>
      </c>
      <c r="H372">
        <v>1167.1500000000001</v>
      </c>
      <c r="I372" t="str">
        <f t="shared" si="10"/>
        <v>Sep</v>
      </c>
      <c r="J372" t="str">
        <f t="shared" si="11"/>
        <v>BTCUSD</v>
      </c>
    </row>
    <row r="373" spans="1:10" hidden="1" x14ac:dyDescent="0.3">
      <c r="A373" s="1">
        <v>44442</v>
      </c>
      <c r="B373" t="s">
        <v>17</v>
      </c>
      <c r="C373" t="s">
        <v>9</v>
      </c>
      <c r="D373">
        <v>49485</v>
      </c>
      <c r="E373">
        <v>51046.11</v>
      </c>
      <c r="F373">
        <v>49241.34</v>
      </c>
      <c r="G373">
        <v>50292.02</v>
      </c>
      <c r="H373">
        <v>1114.4000000000001</v>
      </c>
      <c r="I373" t="str">
        <f t="shared" si="10"/>
        <v>Sep</v>
      </c>
      <c r="J373" t="str">
        <f t="shared" si="11"/>
        <v>BTCUSD</v>
      </c>
    </row>
    <row r="374" spans="1:10" hidden="1" x14ac:dyDescent="0.3">
      <c r="A374" s="1">
        <v>44441</v>
      </c>
      <c r="B374" t="s">
        <v>17</v>
      </c>
      <c r="C374" t="s">
        <v>9</v>
      </c>
      <c r="D374">
        <v>49596.74</v>
      </c>
      <c r="E374">
        <v>50412</v>
      </c>
      <c r="F374">
        <v>48358.879999999997</v>
      </c>
      <c r="G374">
        <v>49485</v>
      </c>
      <c r="H374">
        <v>885.44</v>
      </c>
      <c r="I374" t="str">
        <f t="shared" si="10"/>
        <v>Sep</v>
      </c>
      <c r="J374" t="str">
        <f t="shared" si="11"/>
        <v>BTCUSD</v>
      </c>
    </row>
    <row r="375" spans="1:10" hidden="1" x14ac:dyDescent="0.3">
      <c r="A375" s="1">
        <v>44440</v>
      </c>
      <c r="B375" t="s">
        <v>17</v>
      </c>
      <c r="C375" t="s">
        <v>9</v>
      </c>
      <c r="D375">
        <v>47052.84</v>
      </c>
      <c r="E375">
        <v>49935.09</v>
      </c>
      <c r="F375">
        <v>46980.44</v>
      </c>
      <c r="G375">
        <v>49596.74</v>
      </c>
      <c r="H375">
        <v>1105.1400000000001</v>
      </c>
      <c r="I375" t="str">
        <f t="shared" si="10"/>
        <v>Sep</v>
      </c>
      <c r="J375" t="str">
        <f t="shared" si="11"/>
        <v>BTCUSD</v>
      </c>
    </row>
    <row r="376" spans="1:10" hidden="1" x14ac:dyDescent="0.3">
      <c r="A376" s="1">
        <v>44439</v>
      </c>
      <c r="B376" t="s">
        <v>16</v>
      </c>
      <c r="C376" t="s">
        <v>9</v>
      </c>
      <c r="D376">
        <v>47151.91</v>
      </c>
      <c r="E376">
        <v>48261.59</v>
      </c>
      <c r="F376">
        <v>46524.71</v>
      </c>
      <c r="G376">
        <v>47052.84</v>
      </c>
      <c r="H376">
        <v>1019.19</v>
      </c>
      <c r="I376" t="str">
        <f t="shared" si="10"/>
        <v>Aug</v>
      </c>
      <c r="J376" t="str">
        <f t="shared" si="11"/>
        <v>BTCUSD</v>
      </c>
    </row>
    <row r="377" spans="1:10" hidden="1" x14ac:dyDescent="0.3">
      <c r="A377" s="1">
        <v>44438</v>
      </c>
      <c r="B377" t="s">
        <v>16</v>
      </c>
      <c r="C377" t="s">
        <v>9</v>
      </c>
      <c r="D377">
        <v>47989.58</v>
      </c>
      <c r="E377">
        <v>48735.71</v>
      </c>
      <c r="F377">
        <v>46717.24</v>
      </c>
      <c r="G377">
        <v>47151.91</v>
      </c>
      <c r="H377">
        <v>933.28</v>
      </c>
      <c r="I377" t="str">
        <f t="shared" si="10"/>
        <v>Aug</v>
      </c>
      <c r="J377" t="str">
        <f t="shared" si="11"/>
        <v>BTCUSD</v>
      </c>
    </row>
    <row r="378" spans="1:10" hidden="1" x14ac:dyDescent="0.3">
      <c r="A378" s="1">
        <v>44437</v>
      </c>
      <c r="B378" t="s">
        <v>16</v>
      </c>
      <c r="C378" t="s">
        <v>9</v>
      </c>
      <c r="D378">
        <v>48267.19</v>
      </c>
      <c r="E378">
        <v>49408.07</v>
      </c>
      <c r="F378">
        <v>47800</v>
      </c>
      <c r="G378">
        <v>47989.58</v>
      </c>
      <c r="H378">
        <v>446.77</v>
      </c>
      <c r="I378" t="str">
        <f t="shared" si="10"/>
        <v>Aug</v>
      </c>
      <c r="J378" t="str">
        <f t="shared" si="11"/>
        <v>BTCUSD</v>
      </c>
    </row>
    <row r="379" spans="1:10" hidden="1" x14ac:dyDescent="0.3">
      <c r="A379" s="1">
        <v>44436</v>
      </c>
      <c r="B379" t="s">
        <v>16</v>
      </c>
      <c r="C379" t="s">
        <v>9</v>
      </c>
      <c r="D379">
        <v>48900.01</v>
      </c>
      <c r="E379">
        <v>49650</v>
      </c>
      <c r="F379">
        <v>48107.99</v>
      </c>
      <c r="G379">
        <v>48267.19</v>
      </c>
      <c r="H379">
        <v>544.26</v>
      </c>
      <c r="I379" t="str">
        <f t="shared" si="10"/>
        <v>Aug</v>
      </c>
      <c r="J379" t="str">
        <f t="shared" si="11"/>
        <v>BTCUSD</v>
      </c>
    </row>
    <row r="380" spans="1:10" hidden="1" x14ac:dyDescent="0.3">
      <c r="A380" s="1">
        <v>44435</v>
      </c>
      <c r="B380" t="s">
        <v>16</v>
      </c>
      <c r="C380" t="s">
        <v>9</v>
      </c>
      <c r="D380">
        <v>46845.94</v>
      </c>
      <c r="E380">
        <v>49313.26</v>
      </c>
      <c r="F380">
        <v>46603.360000000001</v>
      </c>
      <c r="G380">
        <v>48900.01</v>
      </c>
      <c r="H380">
        <v>1383.21</v>
      </c>
      <c r="I380" t="str">
        <f t="shared" si="10"/>
        <v>Aug</v>
      </c>
      <c r="J380" t="str">
        <f t="shared" si="11"/>
        <v>BTCUSD</v>
      </c>
    </row>
    <row r="381" spans="1:10" hidden="1" x14ac:dyDescent="0.3">
      <c r="A381" s="1">
        <v>44434</v>
      </c>
      <c r="B381" t="s">
        <v>16</v>
      </c>
      <c r="C381" t="s">
        <v>9</v>
      </c>
      <c r="D381">
        <v>47931</v>
      </c>
      <c r="E381">
        <v>48053.14</v>
      </c>
      <c r="F381">
        <v>46287.63</v>
      </c>
      <c r="G381">
        <v>46845.94</v>
      </c>
      <c r="H381">
        <v>2205</v>
      </c>
      <c r="I381" t="str">
        <f t="shared" si="10"/>
        <v>Aug</v>
      </c>
      <c r="J381" t="str">
        <f t="shared" si="11"/>
        <v>BTCUSD</v>
      </c>
    </row>
    <row r="382" spans="1:10" hidden="1" x14ac:dyDescent="0.3">
      <c r="A382" s="1">
        <v>44433</v>
      </c>
      <c r="B382" t="s">
        <v>16</v>
      </c>
      <c r="C382" t="s">
        <v>9</v>
      </c>
      <c r="D382">
        <v>47995.78</v>
      </c>
      <c r="E382">
        <v>49365.42</v>
      </c>
      <c r="F382">
        <v>47112.12</v>
      </c>
      <c r="G382">
        <v>47931</v>
      </c>
      <c r="H382">
        <v>1666.41</v>
      </c>
      <c r="I382" t="str">
        <f t="shared" si="10"/>
        <v>Aug</v>
      </c>
      <c r="J382" t="str">
        <f t="shared" si="11"/>
        <v>BTCUSD</v>
      </c>
    </row>
    <row r="383" spans="1:10" hidden="1" x14ac:dyDescent="0.3">
      <c r="A383" s="1">
        <v>44432</v>
      </c>
      <c r="B383" t="s">
        <v>16</v>
      </c>
      <c r="C383" t="s">
        <v>9</v>
      </c>
      <c r="D383">
        <v>49350</v>
      </c>
      <c r="E383">
        <v>49867.71</v>
      </c>
      <c r="F383">
        <v>47614.3</v>
      </c>
      <c r="G383">
        <v>47995.78</v>
      </c>
      <c r="H383">
        <v>1369.87</v>
      </c>
      <c r="I383" t="str">
        <f t="shared" si="10"/>
        <v>Aug</v>
      </c>
      <c r="J383" t="str">
        <f t="shared" si="11"/>
        <v>BTCUSD</v>
      </c>
    </row>
    <row r="384" spans="1:10" hidden="1" x14ac:dyDescent="0.3">
      <c r="A384" s="1">
        <v>44431</v>
      </c>
      <c r="B384" t="s">
        <v>16</v>
      </c>
      <c r="C384" t="s">
        <v>9</v>
      </c>
      <c r="D384">
        <v>50289.05</v>
      </c>
      <c r="E384">
        <v>50517.99</v>
      </c>
      <c r="F384">
        <v>48800</v>
      </c>
      <c r="G384">
        <v>49350</v>
      </c>
      <c r="H384">
        <v>1051.6600000000001</v>
      </c>
      <c r="I384" t="str">
        <f t="shared" si="10"/>
        <v>Aug</v>
      </c>
      <c r="J384" t="str">
        <f t="shared" si="11"/>
        <v>BTCUSD</v>
      </c>
    </row>
    <row r="385" spans="1:10" hidden="1" x14ac:dyDescent="0.3">
      <c r="A385" s="1">
        <v>44430</v>
      </c>
      <c r="B385" t="s">
        <v>16</v>
      </c>
      <c r="C385" t="s">
        <v>9</v>
      </c>
      <c r="D385">
        <v>48837.62</v>
      </c>
      <c r="E385">
        <v>50540.19</v>
      </c>
      <c r="F385">
        <v>48071.03</v>
      </c>
      <c r="G385">
        <v>50289.05</v>
      </c>
      <c r="H385">
        <v>974.81</v>
      </c>
      <c r="I385" t="str">
        <f t="shared" si="10"/>
        <v>Aug</v>
      </c>
      <c r="J385" t="str">
        <f t="shared" si="11"/>
        <v>BTCUSD</v>
      </c>
    </row>
    <row r="386" spans="1:10" hidden="1" x14ac:dyDescent="0.3">
      <c r="A386" s="1">
        <v>44429</v>
      </c>
      <c r="B386" t="s">
        <v>16</v>
      </c>
      <c r="C386" t="s">
        <v>9</v>
      </c>
      <c r="D386">
        <v>48839.62</v>
      </c>
      <c r="E386">
        <v>49812.54</v>
      </c>
      <c r="F386">
        <v>48281.42</v>
      </c>
      <c r="G386">
        <v>48837.62</v>
      </c>
      <c r="H386">
        <v>1213.1099999999999</v>
      </c>
      <c r="I386" t="str">
        <f t="shared" ref="I386:I449" si="12">TRIM(B386)</f>
        <v>Aug</v>
      </c>
      <c r="J386" t="str">
        <f t="shared" ref="J386:J449" si="13">TRIM(C386)</f>
        <v>BTCUSD</v>
      </c>
    </row>
    <row r="387" spans="1:10" hidden="1" x14ac:dyDescent="0.3">
      <c r="A387" s="1">
        <v>44428</v>
      </c>
      <c r="B387" t="s">
        <v>16</v>
      </c>
      <c r="C387" t="s">
        <v>9</v>
      </c>
      <c r="D387">
        <v>47042.28</v>
      </c>
      <c r="E387">
        <v>49400</v>
      </c>
      <c r="F387">
        <v>46714.57</v>
      </c>
      <c r="G387">
        <v>48839.62</v>
      </c>
      <c r="H387">
        <v>1328.32</v>
      </c>
      <c r="I387" t="str">
        <f t="shared" si="12"/>
        <v>Aug</v>
      </c>
      <c r="J387" t="str">
        <f t="shared" si="13"/>
        <v>BTCUSD</v>
      </c>
    </row>
    <row r="388" spans="1:10" hidden="1" x14ac:dyDescent="0.3">
      <c r="A388" s="1">
        <v>44427</v>
      </c>
      <c r="B388" t="s">
        <v>16</v>
      </c>
      <c r="C388" t="s">
        <v>9</v>
      </c>
      <c r="D388">
        <v>44074.77</v>
      </c>
      <c r="E388">
        <v>47424.13</v>
      </c>
      <c r="F388">
        <v>43902.53</v>
      </c>
      <c r="G388">
        <v>47042.28</v>
      </c>
      <c r="H388">
        <v>1566</v>
      </c>
      <c r="I388" t="str">
        <f t="shared" si="12"/>
        <v>Aug</v>
      </c>
      <c r="J388" t="str">
        <f t="shared" si="13"/>
        <v>BTCUSD</v>
      </c>
    </row>
    <row r="389" spans="1:10" hidden="1" x14ac:dyDescent="0.3">
      <c r="A389" s="1">
        <v>44426</v>
      </c>
      <c r="B389" t="s">
        <v>16</v>
      </c>
      <c r="C389" t="s">
        <v>9</v>
      </c>
      <c r="D389">
        <v>45078.79</v>
      </c>
      <c r="E389">
        <v>46031</v>
      </c>
      <c r="F389">
        <v>44055</v>
      </c>
      <c r="G389">
        <v>44074.77</v>
      </c>
      <c r="H389">
        <v>1324.73</v>
      </c>
      <c r="I389" t="str">
        <f t="shared" si="12"/>
        <v>Aug</v>
      </c>
      <c r="J389" t="str">
        <f t="shared" si="13"/>
        <v>BTCUSD</v>
      </c>
    </row>
    <row r="390" spans="1:10" hidden="1" x14ac:dyDescent="0.3">
      <c r="A390" s="1">
        <v>44425</v>
      </c>
      <c r="B390" t="s">
        <v>16</v>
      </c>
      <c r="C390" t="s">
        <v>9</v>
      </c>
      <c r="D390">
        <v>46435.44</v>
      </c>
      <c r="E390">
        <v>47162.94</v>
      </c>
      <c r="F390">
        <v>44211.13</v>
      </c>
      <c r="G390">
        <v>45078.79</v>
      </c>
      <c r="H390">
        <v>2149.38</v>
      </c>
      <c r="I390" t="str">
        <f t="shared" si="12"/>
        <v>Aug</v>
      </c>
      <c r="J390" t="str">
        <f t="shared" si="13"/>
        <v>BTCUSD</v>
      </c>
    </row>
    <row r="391" spans="1:10" hidden="1" x14ac:dyDescent="0.3">
      <c r="A391" s="1">
        <v>44424</v>
      </c>
      <c r="B391" t="s">
        <v>16</v>
      </c>
      <c r="C391" t="s">
        <v>9</v>
      </c>
      <c r="D391">
        <v>47400.89</v>
      </c>
      <c r="E391">
        <v>47744.5</v>
      </c>
      <c r="F391">
        <v>45250.51</v>
      </c>
      <c r="G391">
        <v>46435.44</v>
      </c>
      <c r="H391">
        <v>1687.08</v>
      </c>
      <c r="I391" t="str">
        <f t="shared" si="12"/>
        <v>Aug</v>
      </c>
      <c r="J391" t="str">
        <f t="shared" si="13"/>
        <v>BTCUSD</v>
      </c>
    </row>
    <row r="392" spans="1:10" hidden="1" x14ac:dyDescent="0.3">
      <c r="A392" s="1">
        <v>44423</v>
      </c>
      <c r="B392" t="s">
        <v>16</v>
      </c>
      <c r="C392" t="s">
        <v>9</v>
      </c>
      <c r="D392">
        <v>46910.99</v>
      </c>
      <c r="E392">
        <v>48044.25</v>
      </c>
      <c r="F392">
        <v>45509.51</v>
      </c>
      <c r="G392">
        <v>47400.89</v>
      </c>
      <c r="H392">
        <v>1360.76</v>
      </c>
      <c r="I392" t="str">
        <f t="shared" si="12"/>
        <v>Aug</v>
      </c>
      <c r="J392" t="str">
        <f t="shared" si="13"/>
        <v>BTCUSD</v>
      </c>
    </row>
    <row r="393" spans="1:10" hidden="1" x14ac:dyDescent="0.3">
      <c r="A393" s="1">
        <v>44422</v>
      </c>
      <c r="B393" t="s">
        <v>16</v>
      </c>
      <c r="C393" t="s">
        <v>9</v>
      </c>
      <c r="D393">
        <v>47571.64</v>
      </c>
      <c r="E393">
        <v>48181.51</v>
      </c>
      <c r="F393">
        <v>46045.86</v>
      </c>
      <c r="G393">
        <v>46910.99</v>
      </c>
      <c r="H393">
        <v>1112.0899999999999</v>
      </c>
      <c r="I393" t="str">
        <f t="shared" si="12"/>
        <v>Aug</v>
      </c>
      <c r="J393" t="str">
        <f t="shared" si="13"/>
        <v>BTCUSD</v>
      </c>
    </row>
    <row r="394" spans="1:10" hidden="1" x14ac:dyDescent="0.3">
      <c r="A394" s="1">
        <v>44421</v>
      </c>
      <c r="B394" t="s">
        <v>16</v>
      </c>
      <c r="C394" t="s">
        <v>9</v>
      </c>
      <c r="D394">
        <v>45205.46</v>
      </c>
      <c r="E394">
        <v>47900</v>
      </c>
      <c r="F394">
        <v>44952.59</v>
      </c>
      <c r="G394">
        <v>47571.64</v>
      </c>
      <c r="H394">
        <v>1609.57</v>
      </c>
      <c r="I394" t="str">
        <f t="shared" si="12"/>
        <v>Aug</v>
      </c>
      <c r="J394" t="str">
        <f t="shared" si="13"/>
        <v>BTCUSD</v>
      </c>
    </row>
    <row r="395" spans="1:10" hidden="1" x14ac:dyDescent="0.3">
      <c r="A395" s="1">
        <v>44420</v>
      </c>
      <c r="B395" t="s">
        <v>16</v>
      </c>
      <c r="C395" t="s">
        <v>9</v>
      </c>
      <c r="D395">
        <v>45948.06</v>
      </c>
      <c r="E395">
        <v>46023.08</v>
      </c>
      <c r="F395">
        <v>43800</v>
      </c>
      <c r="G395">
        <v>45205.46</v>
      </c>
      <c r="H395">
        <v>1840.77</v>
      </c>
      <c r="I395" t="str">
        <f t="shared" si="12"/>
        <v>Aug</v>
      </c>
      <c r="J395" t="str">
        <f t="shared" si="13"/>
        <v>BTCUSD</v>
      </c>
    </row>
    <row r="396" spans="1:10" hidden="1" x14ac:dyDescent="0.3">
      <c r="A396" s="1">
        <v>44419</v>
      </c>
      <c r="B396" t="s">
        <v>16</v>
      </c>
      <c r="C396" t="s">
        <v>9</v>
      </c>
      <c r="D396">
        <v>45594.16</v>
      </c>
      <c r="E396">
        <v>46775</v>
      </c>
      <c r="F396">
        <v>45426.58</v>
      </c>
      <c r="G396">
        <v>45948.06</v>
      </c>
      <c r="H396">
        <v>1565.84</v>
      </c>
      <c r="I396" t="str">
        <f t="shared" si="12"/>
        <v>Aug</v>
      </c>
      <c r="J396" t="str">
        <f t="shared" si="13"/>
        <v>BTCUSD</v>
      </c>
    </row>
    <row r="397" spans="1:10" hidden="1" x14ac:dyDescent="0.3">
      <c r="A397" s="1">
        <v>44418</v>
      </c>
      <c r="B397" t="s">
        <v>16</v>
      </c>
      <c r="C397" t="s">
        <v>9</v>
      </c>
      <c r="D397">
        <v>45727.39</v>
      </c>
      <c r="E397">
        <v>46183.47</v>
      </c>
      <c r="F397">
        <v>44642.21</v>
      </c>
      <c r="G397">
        <v>45594.16</v>
      </c>
      <c r="H397">
        <v>1768.99</v>
      </c>
      <c r="I397" t="str">
        <f t="shared" si="12"/>
        <v>Aug</v>
      </c>
      <c r="J397" t="str">
        <f t="shared" si="13"/>
        <v>BTCUSD</v>
      </c>
    </row>
    <row r="398" spans="1:10" hidden="1" x14ac:dyDescent="0.3">
      <c r="A398" s="1">
        <v>44417</v>
      </c>
      <c r="B398" t="s">
        <v>16</v>
      </c>
      <c r="C398" t="s">
        <v>9</v>
      </c>
      <c r="D398">
        <v>43529.34</v>
      </c>
      <c r="E398">
        <v>46729.86</v>
      </c>
      <c r="F398">
        <v>43295.22</v>
      </c>
      <c r="G398">
        <v>45727.39</v>
      </c>
      <c r="H398">
        <v>3092.3</v>
      </c>
      <c r="I398" t="str">
        <f t="shared" si="12"/>
        <v>Aug</v>
      </c>
      <c r="J398" t="str">
        <f t="shared" si="13"/>
        <v>BTCUSD</v>
      </c>
    </row>
    <row r="399" spans="1:10" hidden="1" x14ac:dyDescent="0.3">
      <c r="A399" s="1">
        <v>44416</v>
      </c>
      <c r="B399" t="s">
        <v>16</v>
      </c>
      <c r="C399" t="s">
        <v>9</v>
      </c>
      <c r="D399">
        <v>44391.34</v>
      </c>
      <c r="E399">
        <v>45386.81</v>
      </c>
      <c r="F399">
        <v>42813.74</v>
      </c>
      <c r="G399">
        <v>43529.34</v>
      </c>
      <c r="H399">
        <v>2023.49</v>
      </c>
      <c r="I399" t="str">
        <f t="shared" si="12"/>
        <v>Aug</v>
      </c>
      <c r="J399" t="str">
        <f t="shared" si="13"/>
        <v>BTCUSD</v>
      </c>
    </row>
    <row r="400" spans="1:10" hidden="1" x14ac:dyDescent="0.3">
      <c r="A400" s="1">
        <v>44415</v>
      </c>
      <c r="B400" t="s">
        <v>16</v>
      </c>
      <c r="C400" t="s">
        <v>9</v>
      </c>
      <c r="D400">
        <v>43720</v>
      </c>
      <c r="E400">
        <v>44837.59</v>
      </c>
      <c r="F400">
        <v>42460</v>
      </c>
      <c r="G400">
        <v>44391.34</v>
      </c>
      <c r="H400">
        <v>3336.16</v>
      </c>
      <c r="I400" t="str">
        <f t="shared" si="12"/>
        <v>Aug</v>
      </c>
      <c r="J400" t="str">
        <f t="shared" si="13"/>
        <v>BTCUSD</v>
      </c>
    </row>
    <row r="401" spans="1:10" hidden="1" x14ac:dyDescent="0.3">
      <c r="A401" s="1">
        <v>44414</v>
      </c>
      <c r="B401" t="s">
        <v>16</v>
      </c>
      <c r="C401" t="s">
        <v>9</v>
      </c>
      <c r="D401">
        <v>40250.79</v>
      </c>
      <c r="E401">
        <v>43792.42</v>
      </c>
      <c r="F401">
        <v>39897.39</v>
      </c>
      <c r="G401">
        <v>43720</v>
      </c>
      <c r="H401">
        <v>2238.33</v>
      </c>
      <c r="I401" t="str">
        <f t="shared" si="12"/>
        <v>Aug</v>
      </c>
      <c r="J401" t="str">
        <f t="shared" si="13"/>
        <v>BTCUSD</v>
      </c>
    </row>
    <row r="402" spans="1:10" hidden="1" x14ac:dyDescent="0.3">
      <c r="A402" s="1">
        <v>44413</v>
      </c>
      <c r="B402" t="s">
        <v>16</v>
      </c>
      <c r="C402" t="s">
        <v>9</v>
      </c>
      <c r="D402">
        <v>39440.620000000003</v>
      </c>
      <c r="E402">
        <v>41431.18</v>
      </c>
      <c r="F402">
        <v>37311.06</v>
      </c>
      <c r="G402">
        <v>40250.79</v>
      </c>
      <c r="H402">
        <v>3715.5</v>
      </c>
      <c r="I402" t="str">
        <f t="shared" si="12"/>
        <v>Aug</v>
      </c>
      <c r="J402" t="str">
        <f t="shared" si="13"/>
        <v>BTCUSD</v>
      </c>
    </row>
    <row r="403" spans="1:10" hidden="1" x14ac:dyDescent="0.3">
      <c r="A403" s="1">
        <v>44412</v>
      </c>
      <c r="B403" t="s">
        <v>16</v>
      </c>
      <c r="C403" t="s">
        <v>9</v>
      </c>
      <c r="D403">
        <v>37962.25</v>
      </c>
      <c r="E403">
        <v>39973.96</v>
      </c>
      <c r="F403">
        <v>37472.15</v>
      </c>
      <c r="G403">
        <v>39440.620000000003</v>
      </c>
      <c r="H403">
        <v>1911.35</v>
      </c>
      <c r="I403" t="str">
        <f t="shared" si="12"/>
        <v>Aug</v>
      </c>
      <c r="J403" t="str">
        <f t="shared" si="13"/>
        <v>BTCUSD</v>
      </c>
    </row>
    <row r="404" spans="1:10" hidden="1" x14ac:dyDescent="0.3">
      <c r="A404" s="1">
        <v>44411</v>
      </c>
      <c r="B404" t="s">
        <v>16</v>
      </c>
      <c r="C404" t="s">
        <v>9</v>
      </c>
      <c r="D404">
        <v>38650</v>
      </c>
      <c r="E404">
        <v>38824.81</v>
      </c>
      <c r="F404">
        <v>37558.089999999997</v>
      </c>
      <c r="G404">
        <v>37962.25</v>
      </c>
      <c r="H404">
        <v>2750.52</v>
      </c>
      <c r="I404" t="str">
        <f t="shared" si="12"/>
        <v>Aug</v>
      </c>
      <c r="J404" t="str">
        <f t="shared" si="13"/>
        <v>BTCUSD</v>
      </c>
    </row>
    <row r="405" spans="1:10" hidden="1" x14ac:dyDescent="0.3">
      <c r="A405" s="1">
        <v>44410</v>
      </c>
      <c r="B405" t="s">
        <v>16</v>
      </c>
      <c r="C405" t="s">
        <v>9</v>
      </c>
      <c r="D405">
        <v>39811.54</v>
      </c>
      <c r="E405">
        <v>40446.58</v>
      </c>
      <c r="F405">
        <v>38515</v>
      </c>
      <c r="G405">
        <v>38650</v>
      </c>
      <c r="H405">
        <v>1815.1</v>
      </c>
      <c r="I405" t="str">
        <f t="shared" si="12"/>
        <v>Aug</v>
      </c>
      <c r="J405" t="str">
        <f t="shared" si="13"/>
        <v>BTCUSD</v>
      </c>
    </row>
    <row r="406" spans="1:10" hidden="1" x14ac:dyDescent="0.3">
      <c r="A406" s="1">
        <v>44409</v>
      </c>
      <c r="B406" t="s">
        <v>16</v>
      </c>
      <c r="C406" t="s">
        <v>9</v>
      </c>
      <c r="D406">
        <v>42461.13</v>
      </c>
      <c r="E406">
        <v>42475.28</v>
      </c>
      <c r="F406">
        <v>39213.050000000003</v>
      </c>
      <c r="G406">
        <v>39811.54</v>
      </c>
      <c r="H406">
        <v>1237.92</v>
      </c>
      <c r="I406" t="str">
        <f t="shared" si="12"/>
        <v>Aug</v>
      </c>
      <c r="J406" t="str">
        <f t="shared" si="13"/>
        <v>BTCUSD</v>
      </c>
    </row>
    <row r="407" spans="1:10" hidden="1" x14ac:dyDescent="0.3">
      <c r="A407" s="1">
        <v>44408</v>
      </c>
      <c r="B407" t="s">
        <v>15</v>
      </c>
      <c r="C407" t="s">
        <v>9</v>
      </c>
      <c r="D407">
        <v>41840.36</v>
      </c>
      <c r="E407">
        <v>42600</v>
      </c>
      <c r="F407">
        <v>41072.589999999997</v>
      </c>
      <c r="G407">
        <v>42461.13</v>
      </c>
      <c r="H407">
        <v>687.36</v>
      </c>
      <c r="I407" t="str">
        <f t="shared" si="12"/>
        <v>Jul</v>
      </c>
      <c r="J407" t="str">
        <f t="shared" si="13"/>
        <v>BTCUSD</v>
      </c>
    </row>
    <row r="408" spans="1:10" hidden="1" x14ac:dyDescent="0.3">
      <c r="A408" s="1">
        <v>44407</v>
      </c>
      <c r="B408" t="s">
        <v>15</v>
      </c>
      <c r="C408" t="s">
        <v>9</v>
      </c>
      <c r="D408">
        <v>39982.79</v>
      </c>
      <c r="E408">
        <v>42400</v>
      </c>
      <c r="F408">
        <v>38350</v>
      </c>
      <c r="G408">
        <v>41840.36</v>
      </c>
      <c r="H408">
        <v>2600.84</v>
      </c>
      <c r="I408" t="str">
        <f t="shared" si="12"/>
        <v>Jul</v>
      </c>
      <c r="J408" t="str">
        <f t="shared" si="13"/>
        <v>BTCUSD</v>
      </c>
    </row>
    <row r="409" spans="1:10" hidden="1" x14ac:dyDescent="0.3">
      <c r="A409" s="1">
        <v>44406</v>
      </c>
      <c r="B409" t="s">
        <v>15</v>
      </c>
      <c r="C409" t="s">
        <v>9</v>
      </c>
      <c r="D409">
        <v>39638.769999999997</v>
      </c>
      <c r="E409">
        <v>40639.14</v>
      </c>
      <c r="F409">
        <v>39409.4</v>
      </c>
      <c r="G409">
        <v>39982.79</v>
      </c>
      <c r="H409">
        <v>1561.72</v>
      </c>
      <c r="I409" t="str">
        <f t="shared" si="12"/>
        <v>Jul</v>
      </c>
      <c r="J409" t="str">
        <f t="shared" si="13"/>
        <v>BTCUSD</v>
      </c>
    </row>
    <row r="410" spans="1:10" hidden="1" x14ac:dyDescent="0.3">
      <c r="A410" s="1">
        <v>44405</v>
      </c>
      <c r="B410" t="s">
        <v>15</v>
      </c>
      <c r="C410" t="s">
        <v>9</v>
      </c>
      <c r="D410">
        <v>39848.44</v>
      </c>
      <c r="E410">
        <v>40928.46</v>
      </c>
      <c r="F410">
        <v>38803.47</v>
      </c>
      <c r="G410">
        <v>39638.769999999997</v>
      </c>
      <c r="H410">
        <v>3682.36</v>
      </c>
      <c r="I410" t="str">
        <f t="shared" si="12"/>
        <v>Jul</v>
      </c>
      <c r="J410" t="str">
        <f t="shared" si="13"/>
        <v>BTCUSD</v>
      </c>
    </row>
    <row r="411" spans="1:10" hidden="1" x14ac:dyDescent="0.3">
      <c r="A411" s="1">
        <v>44404</v>
      </c>
      <c r="B411" t="s">
        <v>15</v>
      </c>
      <c r="C411" t="s">
        <v>9</v>
      </c>
      <c r="D411">
        <v>36851.519999999997</v>
      </c>
      <c r="E411">
        <v>40366.57</v>
      </c>
      <c r="F411">
        <v>36713.129999999997</v>
      </c>
      <c r="G411">
        <v>39848.44</v>
      </c>
      <c r="H411">
        <v>5729.11</v>
      </c>
      <c r="I411" t="str">
        <f t="shared" si="12"/>
        <v>Jul</v>
      </c>
      <c r="J411" t="str">
        <f t="shared" si="13"/>
        <v>BTCUSD</v>
      </c>
    </row>
    <row r="412" spans="1:10" hidden="1" x14ac:dyDescent="0.3">
      <c r="A412" s="1">
        <v>44403</v>
      </c>
      <c r="B412" t="s">
        <v>15</v>
      </c>
      <c r="C412" t="s">
        <v>9</v>
      </c>
      <c r="D412">
        <v>38312.57</v>
      </c>
      <c r="E412">
        <v>40572.449999999997</v>
      </c>
      <c r="F412">
        <v>36400</v>
      </c>
      <c r="G412">
        <v>36851.519999999997</v>
      </c>
      <c r="H412">
        <v>5021.1099999999997</v>
      </c>
      <c r="I412" t="str">
        <f t="shared" si="12"/>
        <v>Jul</v>
      </c>
      <c r="J412" t="str">
        <f t="shared" si="13"/>
        <v>BTCUSD</v>
      </c>
    </row>
    <row r="413" spans="1:10" hidden="1" x14ac:dyDescent="0.3">
      <c r="A413" s="1">
        <v>44402</v>
      </c>
      <c r="B413" t="s">
        <v>15</v>
      </c>
      <c r="C413" t="s">
        <v>9</v>
      </c>
      <c r="D413">
        <v>34192.14</v>
      </c>
      <c r="E413">
        <v>39782.93</v>
      </c>
      <c r="F413">
        <v>33894.22</v>
      </c>
      <c r="G413">
        <v>38312.57</v>
      </c>
      <c r="H413">
        <v>3558.08</v>
      </c>
      <c r="I413" t="str">
        <f t="shared" si="12"/>
        <v>Jul</v>
      </c>
      <c r="J413" t="str">
        <f t="shared" si="13"/>
        <v>BTCUSD</v>
      </c>
    </row>
    <row r="414" spans="1:10" hidden="1" x14ac:dyDescent="0.3">
      <c r="A414" s="1">
        <v>44401</v>
      </c>
      <c r="B414" t="s">
        <v>15</v>
      </c>
      <c r="C414" t="s">
        <v>9</v>
      </c>
      <c r="D414">
        <v>33689.58</v>
      </c>
      <c r="E414">
        <v>34525.5</v>
      </c>
      <c r="F414">
        <v>33582.400000000001</v>
      </c>
      <c r="G414">
        <v>34192.14</v>
      </c>
      <c r="H414">
        <v>785.46</v>
      </c>
      <c r="I414" t="str">
        <f t="shared" si="12"/>
        <v>Jul</v>
      </c>
      <c r="J414" t="str">
        <f t="shared" si="13"/>
        <v>BTCUSD</v>
      </c>
    </row>
    <row r="415" spans="1:10" hidden="1" x14ac:dyDescent="0.3">
      <c r="A415" s="1">
        <v>44400</v>
      </c>
      <c r="B415" t="s">
        <v>15</v>
      </c>
      <c r="C415" t="s">
        <v>9</v>
      </c>
      <c r="D415">
        <v>32598.43</v>
      </c>
      <c r="E415">
        <v>33800</v>
      </c>
      <c r="F415">
        <v>32000</v>
      </c>
      <c r="G415">
        <v>33689.58</v>
      </c>
      <c r="H415">
        <v>1319.58</v>
      </c>
      <c r="I415" t="str">
        <f t="shared" si="12"/>
        <v>Jul</v>
      </c>
      <c r="J415" t="str">
        <f t="shared" si="13"/>
        <v>BTCUSD</v>
      </c>
    </row>
    <row r="416" spans="1:10" hidden="1" x14ac:dyDescent="0.3">
      <c r="A416" s="1">
        <v>44399</v>
      </c>
      <c r="B416" t="s">
        <v>15</v>
      </c>
      <c r="C416" t="s">
        <v>9</v>
      </c>
      <c r="D416">
        <v>31947.52</v>
      </c>
      <c r="E416">
        <v>32806.46</v>
      </c>
      <c r="F416">
        <v>31732.34</v>
      </c>
      <c r="G416">
        <v>32598.43</v>
      </c>
      <c r="H416">
        <v>1223.0999999999999</v>
      </c>
      <c r="I416" t="str">
        <f t="shared" si="12"/>
        <v>Jul</v>
      </c>
      <c r="J416" t="str">
        <f t="shared" si="13"/>
        <v>BTCUSD</v>
      </c>
    </row>
    <row r="417" spans="1:10" hidden="1" x14ac:dyDescent="0.3">
      <c r="A417" s="1">
        <v>44398</v>
      </c>
      <c r="B417" t="s">
        <v>15</v>
      </c>
      <c r="C417" t="s">
        <v>9</v>
      </c>
      <c r="D417">
        <v>29853.86</v>
      </c>
      <c r="E417">
        <v>32950</v>
      </c>
      <c r="F417">
        <v>29853.86</v>
      </c>
      <c r="G417">
        <v>31947.52</v>
      </c>
      <c r="H417">
        <v>3023.28</v>
      </c>
      <c r="I417" t="str">
        <f t="shared" si="12"/>
        <v>Jul</v>
      </c>
      <c r="J417" t="str">
        <f t="shared" si="13"/>
        <v>BTCUSD</v>
      </c>
    </row>
    <row r="418" spans="1:10" hidden="1" x14ac:dyDescent="0.3">
      <c r="A418" s="1">
        <v>44397</v>
      </c>
      <c r="B418" t="s">
        <v>15</v>
      </c>
      <c r="C418" t="s">
        <v>9</v>
      </c>
      <c r="D418">
        <v>29605.35</v>
      </c>
      <c r="E418">
        <v>30005.72</v>
      </c>
      <c r="F418">
        <v>29284.35</v>
      </c>
      <c r="G418">
        <v>29853.86</v>
      </c>
      <c r="H418">
        <v>2075.2800000000002</v>
      </c>
      <c r="I418" t="str">
        <f t="shared" si="12"/>
        <v>Jul</v>
      </c>
      <c r="J418" t="str">
        <f t="shared" si="13"/>
        <v>BTCUSD</v>
      </c>
    </row>
    <row r="419" spans="1:10" hidden="1" x14ac:dyDescent="0.3">
      <c r="A419" s="1">
        <v>44396</v>
      </c>
      <c r="B419" t="s">
        <v>15</v>
      </c>
      <c r="C419" t="s">
        <v>9</v>
      </c>
      <c r="D419">
        <v>31547.22</v>
      </c>
      <c r="E419">
        <v>31890.59</v>
      </c>
      <c r="F419">
        <v>29500</v>
      </c>
      <c r="G419">
        <v>29605.35</v>
      </c>
      <c r="H419">
        <v>2184.44</v>
      </c>
      <c r="I419" t="str">
        <f t="shared" si="12"/>
        <v>Jul</v>
      </c>
      <c r="J419" t="str">
        <f t="shared" si="13"/>
        <v>BTCUSD</v>
      </c>
    </row>
    <row r="420" spans="1:10" hidden="1" x14ac:dyDescent="0.3">
      <c r="A420" s="1">
        <v>44395</v>
      </c>
      <c r="B420" t="s">
        <v>15</v>
      </c>
      <c r="C420" t="s">
        <v>9</v>
      </c>
      <c r="D420">
        <v>32169.82</v>
      </c>
      <c r="E420">
        <v>32200.55</v>
      </c>
      <c r="F420">
        <v>31123</v>
      </c>
      <c r="G420">
        <v>31547.22</v>
      </c>
      <c r="H420">
        <v>572.89</v>
      </c>
      <c r="I420" t="str">
        <f t="shared" si="12"/>
        <v>Jul</v>
      </c>
      <c r="J420" t="str">
        <f t="shared" si="13"/>
        <v>BTCUSD</v>
      </c>
    </row>
    <row r="421" spans="1:10" hidden="1" x14ac:dyDescent="0.3">
      <c r="A421" s="1">
        <v>44394</v>
      </c>
      <c r="B421" t="s">
        <v>15</v>
      </c>
      <c r="C421" t="s">
        <v>9</v>
      </c>
      <c r="D421">
        <v>31313.83</v>
      </c>
      <c r="E421">
        <v>32437.07</v>
      </c>
      <c r="F421">
        <v>31206.23</v>
      </c>
      <c r="G421">
        <v>32169.82</v>
      </c>
      <c r="H421">
        <v>765.31</v>
      </c>
      <c r="I421" t="str">
        <f t="shared" si="12"/>
        <v>Jul</v>
      </c>
      <c r="J421" t="str">
        <f t="shared" si="13"/>
        <v>BTCUSD</v>
      </c>
    </row>
    <row r="422" spans="1:10" hidden="1" x14ac:dyDescent="0.3">
      <c r="A422" s="1">
        <v>44393</v>
      </c>
      <c r="B422" t="s">
        <v>15</v>
      </c>
      <c r="C422" t="s">
        <v>9</v>
      </c>
      <c r="D422">
        <v>31924.93</v>
      </c>
      <c r="E422">
        <v>32252.21</v>
      </c>
      <c r="F422">
        <v>31027.01</v>
      </c>
      <c r="G422">
        <v>31313.83</v>
      </c>
      <c r="H422">
        <v>1355.02</v>
      </c>
      <c r="I422" t="str">
        <f t="shared" si="12"/>
        <v>Jul</v>
      </c>
      <c r="J422" t="str">
        <f t="shared" si="13"/>
        <v>BTCUSD</v>
      </c>
    </row>
    <row r="423" spans="1:10" hidden="1" x14ac:dyDescent="0.3">
      <c r="A423" s="1">
        <v>44392</v>
      </c>
      <c r="B423" t="s">
        <v>15</v>
      </c>
      <c r="C423" t="s">
        <v>9</v>
      </c>
      <c r="D423">
        <v>32671.54</v>
      </c>
      <c r="E423">
        <v>32691.72</v>
      </c>
      <c r="F423">
        <v>31135</v>
      </c>
      <c r="G423">
        <v>31924.93</v>
      </c>
      <c r="H423">
        <v>1534.41</v>
      </c>
      <c r="I423" t="str">
        <f t="shared" si="12"/>
        <v>Jul</v>
      </c>
      <c r="J423" t="str">
        <f t="shared" si="13"/>
        <v>BTCUSD</v>
      </c>
    </row>
    <row r="424" spans="1:10" hidden="1" x14ac:dyDescent="0.3">
      <c r="A424" s="1">
        <v>44391</v>
      </c>
      <c r="B424" t="s">
        <v>15</v>
      </c>
      <c r="C424" t="s">
        <v>9</v>
      </c>
      <c r="D424">
        <v>31853.69</v>
      </c>
      <c r="E424">
        <v>33189.99</v>
      </c>
      <c r="F424">
        <v>31601.59</v>
      </c>
      <c r="G424">
        <v>32671.54</v>
      </c>
      <c r="H424">
        <v>1083.1199999999999</v>
      </c>
      <c r="I424" t="str">
        <f t="shared" si="12"/>
        <v>Jul</v>
      </c>
      <c r="J424" t="str">
        <f t="shared" si="13"/>
        <v>BTCUSD</v>
      </c>
    </row>
    <row r="425" spans="1:10" hidden="1" x14ac:dyDescent="0.3">
      <c r="A425" s="1">
        <v>44390</v>
      </c>
      <c r="B425" t="s">
        <v>15</v>
      </c>
      <c r="C425" t="s">
        <v>9</v>
      </c>
      <c r="D425">
        <v>33087.26</v>
      </c>
      <c r="E425">
        <v>33334.71</v>
      </c>
      <c r="F425">
        <v>31661.01</v>
      </c>
      <c r="G425">
        <v>31853.69</v>
      </c>
      <c r="H425">
        <v>1282.07</v>
      </c>
      <c r="I425" t="str">
        <f t="shared" si="12"/>
        <v>Jul</v>
      </c>
      <c r="J425" t="str">
        <f t="shared" si="13"/>
        <v>BTCUSD</v>
      </c>
    </row>
    <row r="426" spans="1:10" hidden="1" x14ac:dyDescent="0.3">
      <c r="A426" s="1">
        <v>44389</v>
      </c>
      <c r="B426" t="s">
        <v>15</v>
      </c>
      <c r="C426" t="s">
        <v>9</v>
      </c>
      <c r="D426">
        <v>34452.39</v>
      </c>
      <c r="E426">
        <v>34670.21</v>
      </c>
      <c r="F426">
        <v>32669.89</v>
      </c>
      <c r="G426">
        <v>33087.26</v>
      </c>
      <c r="H426">
        <v>1322.29</v>
      </c>
      <c r="I426" t="str">
        <f t="shared" si="12"/>
        <v>Jul</v>
      </c>
      <c r="J426" t="str">
        <f t="shared" si="13"/>
        <v>BTCUSD</v>
      </c>
    </row>
    <row r="427" spans="1:10" hidden="1" x14ac:dyDescent="0.3">
      <c r="A427" s="1">
        <v>44388</v>
      </c>
      <c r="B427" t="s">
        <v>15</v>
      </c>
      <c r="C427" t="s">
        <v>9</v>
      </c>
      <c r="D427">
        <v>33420.839999999997</v>
      </c>
      <c r="E427">
        <v>34602</v>
      </c>
      <c r="F427">
        <v>33333.01</v>
      </c>
      <c r="G427">
        <v>34452.39</v>
      </c>
      <c r="H427">
        <v>816.86</v>
      </c>
      <c r="I427" t="str">
        <f t="shared" si="12"/>
        <v>Jul</v>
      </c>
      <c r="J427" t="str">
        <f t="shared" si="13"/>
        <v>BTCUSD</v>
      </c>
    </row>
    <row r="428" spans="1:10" hidden="1" x14ac:dyDescent="0.3">
      <c r="A428" s="1">
        <v>44387</v>
      </c>
      <c r="B428" t="s">
        <v>15</v>
      </c>
      <c r="C428" t="s">
        <v>9</v>
      </c>
      <c r="D428">
        <v>33799.81</v>
      </c>
      <c r="E428">
        <v>34195.26</v>
      </c>
      <c r="F428">
        <v>33046</v>
      </c>
      <c r="G428">
        <v>33420.839999999997</v>
      </c>
      <c r="H428">
        <v>803.55</v>
      </c>
      <c r="I428" t="str">
        <f t="shared" si="12"/>
        <v>Jul</v>
      </c>
      <c r="J428" t="str">
        <f t="shared" si="13"/>
        <v>BTCUSD</v>
      </c>
    </row>
    <row r="429" spans="1:10" hidden="1" x14ac:dyDescent="0.3">
      <c r="A429" s="1">
        <v>44386</v>
      </c>
      <c r="B429" t="s">
        <v>15</v>
      </c>
      <c r="C429" t="s">
        <v>9</v>
      </c>
      <c r="D429">
        <v>32954.75</v>
      </c>
      <c r="E429">
        <v>34262.53</v>
      </c>
      <c r="F429">
        <v>32625.74</v>
      </c>
      <c r="G429">
        <v>33799.81</v>
      </c>
      <c r="H429">
        <v>1273.26</v>
      </c>
      <c r="I429" t="str">
        <f t="shared" si="12"/>
        <v>Jul</v>
      </c>
      <c r="J429" t="str">
        <f t="shared" si="13"/>
        <v>BTCUSD</v>
      </c>
    </row>
    <row r="430" spans="1:10" hidden="1" x14ac:dyDescent="0.3">
      <c r="A430" s="1">
        <v>44385</v>
      </c>
      <c r="B430" t="s">
        <v>15</v>
      </c>
      <c r="C430" t="s">
        <v>9</v>
      </c>
      <c r="D430">
        <v>33337</v>
      </c>
      <c r="E430">
        <v>33493.24</v>
      </c>
      <c r="F430">
        <v>32101</v>
      </c>
      <c r="G430">
        <v>32954.75</v>
      </c>
      <c r="H430">
        <v>2063.0100000000002</v>
      </c>
      <c r="I430" t="str">
        <f t="shared" si="12"/>
        <v>Jul</v>
      </c>
      <c r="J430" t="str">
        <f t="shared" si="13"/>
        <v>BTCUSD</v>
      </c>
    </row>
    <row r="431" spans="1:10" hidden="1" x14ac:dyDescent="0.3">
      <c r="A431" s="1">
        <v>44384</v>
      </c>
      <c r="B431" t="s">
        <v>15</v>
      </c>
      <c r="C431" t="s">
        <v>9</v>
      </c>
      <c r="D431">
        <v>34465.35</v>
      </c>
      <c r="E431">
        <v>35098.28</v>
      </c>
      <c r="F431">
        <v>33094.639999999999</v>
      </c>
      <c r="G431">
        <v>33337</v>
      </c>
      <c r="H431">
        <v>1485.76</v>
      </c>
      <c r="I431" t="str">
        <f t="shared" si="12"/>
        <v>Jul</v>
      </c>
      <c r="J431" t="str">
        <f t="shared" si="13"/>
        <v>BTCUSD</v>
      </c>
    </row>
    <row r="432" spans="1:10" hidden="1" x14ac:dyDescent="0.3">
      <c r="A432" s="1">
        <v>44383</v>
      </c>
      <c r="B432" t="s">
        <v>15</v>
      </c>
      <c r="C432" t="s">
        <v>9</v>
      </c>
      <c r="D432">
        <v>33942.22</v>
      </c>
      <c r="E432">
        <v>35114.32</v>
      </c>
      <c r="F432">
        <v>33530.400000000001</v>
      </c>
      <c r="G432">
        <v>34465.35</v>
      </c>
      <c r="H432">
        <v>2039.5</v>
      </c>
      <c r="I432" t="str">
        <f t="shared" si="12"/>
        <v>Jul</v>
      </c>
      <c r="J432" t="str">
        <f t="shared" si="13"/>
        <v>BTCUSD</v>
      </c>
    </row>
    <row r="433" spans="1:10" hidden="1" x14ac:dyDescent="0.3">
      <c r="A433" s="1">
        <v>44382</v>
      </c>
      <c r="B433" t="s">
        <v>15</v>
      </c>
      <c r="C433" t="s">
        <v>9</v>
      </c>
      <c r="D433">
        <v>34360.839999999997</v>
      </c>
      <c r="E433">
        <v>34559.72</v>
      </c>
      <c r="F433">
        <v>33100</v>
      </c>
      <c r="G433">
        <v>33942.22</v>
      </c>
      <c r="H433">
        <v>1323.66</v>
      </c>
      <c r="I433" t="str">
        <f t="shared" si="12"/>
        <v>Jul</v>
      </c>
      <c r="J433" t="str">
        <f t="shared" si="13"/>
        <v>BTCUSD</v>
      </c>
    </row>
    <row r="434" spans="1:10" hidden="1" x14ac:dyDescent="0.3">
      <c r="A434" s="1">
        <v>44381</v>
      </c>
      <c r="B434" t="s">
        <v>15</v>
      </c>
      <c r="C434" t="s">
        <v>9</v>
      </c>
      <c r="D434">
        <v>34670</v>
      </c>
      <c r="E434">
        <v>35985.71</v>
      </c>
      <c r="F434">
        <v>34211.29</v>
      </c>
      <c r="G434">
        <v>34360.839999999997</v>
      </c>
      <c r="H434">
        <v>1073.5999999999999</v>
      </c>
      <c r="I434" t="str">
        <f t="shared" si="12"/>
        <v>Jul</v>
      </c>
      <c r="J434" t="str">
        <f t="shared" si="13"/>
        <v>BTCUSD</v>
      </c>
    </row>
    <row r="435" spans="1:10" hidden="1" x14ac:dyDescent="0.3">
      <c r="A435" s="1">
        <v>44380</v>
      </c>
      <c r="B435" t="s">
        <v>15</v>
      </c>
      <c r="C435" t="s">
        <v>9</v>
      </c>
      <c r="D435">
        <v>33540.480000000003</v>
      </c>
      <c r="E435">
        <v>34942.559999999998</v>
      </c>
      <c r="F435">
        <v>33466.620000000003</v>
      </c>
      <c r="G435">
        <v>34670</v>
      </c>
      <c r="H435">
        <v>647.92999999999995</v>
      </c>
      <c r="I435" t="str">
        <f t="shared" si="12"/>
        <v>Jul</v>
      </c>
      <c r="J435" t="str">
        <f t="shared" si="13"/>
        <v>BTCUSD</v>
      </c>
    </row>
    <row r="436" spans="1:10" hidden="1" x14ac:dyDescent="0.3">
      <c r="A436" s="1">
        <v>44379</v>
      </c>
      <c r="B436" t="s">
        <v>15</v>
      </c>
      <c r="C436" t="s">
        <v>9</v>
      </c>
      <c r="D436">
        <v>32933.440000000002</v>
      </c>
      <c r="E436">
        <v>33926.449999999997</v>
      </c>
      <c r="F436">
        <v>32700</v>
      </c>
      <c r="G436">
        <v>33540.480000000003</v>
      </c>
      <c r="H436">
        <v>1321.23</v>
      </c>
      <c r="I436" t="str">
        <f t="shared" si="12"/>
        <v>Jul</v>
      </c>
      <c r="J436" t="str">
        <f t="shared" si="13"/>
        <v>BTCUSD</v>
      </c>
    </row>
    <row r="437" spans="1:10" hidden="1" x14ac:dyDescent="0.3">
      <c r="A437" s="1">
        <v>44378</v>
      </c>
      <c r="B437" t="s">
        <v>15</v>
      </c>
      <c r="C437" t="s">
        <v>9</v>
      </c>
      <c r="D437">
        <v>34132.04</v>
      </c>
      <c r="E437">
        <v>34475.550000000003</v>
      </c>
      <c r="F437">
        <v>32722.69</v>
      </c>
      <c r="G437">
        <v>32933.440000000002</v>
      </c>
      <c r="H437">
        <v>2240.46</v>
      </c>
      <c r="I437" t="str">
        <f t="shared" si="12"/>
        <v>Jul</v>
      </c>
      <c r="J437" t="str">
        <f t="shared" si="13"/>
        <v>BTCUSD</v>
      </c>
    </row>
    <row r="438" spans="1:10" hidden="1" x14ac:dyDescent="0.3">
      <c r="A438" s="1">
        <v>44377</v>
      </c>
      <c r="B438" t="s">
        <v>14</v>
      </c>
      <c r="C438" t="s">
        <v>9</v>
      </c>
      <c r="D438">
        <v>35095.440000000002</v>
      </c>
      <c r="E438">
        <v>35333.25</v>
      </c>
      <c r="F438">
        <v>34050</v>
      </c>
      <c r="G438">
        <v>34132.04</v>
      </c>
      <c r="H438">
        <v>2031.63</v>
      </c>
      <c r="I438" t="str">
        <f t="shared" si="12"/>
        <v>Jun</v>
      </c>
      <c r="J438" t="str">
        <f t="shared" si="13"/>
        <v>BTCUSD</v>
      </c>
    </row>
    <row r="439" spans="1:10" hidden="1" x14ac:dyDescent="0.3">
      <c r="A439" s="1">
        <v>44376</v>
      </c>
      <c r="B439" t="s">
        <v>14</v>
      </c>
      <c r="C439" t="s">
        <v>9</v>
      </c>
      <c r="D439">
        <v>34591.620000000003</v>
      </c>
      <c r="E439">
        <v>36661.800000000003</v>
      </c>
      <c r="F439">
        <v>34556.07</v>
      </c>
      <c r="G439">
        <v>35095.440000000002</v>
      </c>
      <c r="H439">
        <v>3012.66</v>
      </c>
      <c r="I439" t="str">
        <f t="shared" si="12"/>
        <v>Jun</v>
      </c>
      <c r="J439" t="str">
        <f t="shared" si="13"/>
        <v>BTCUSD</v>
      </c>
    </row>
    <row r="440" spans="1:10" hidden="1" x14ac:dyDescent="0.3">
      <c r="A440" s="1">
        <v>44375</v>
      </c>
      <c r="B440" t="s">
        <v>14</v>
      </c>
      <c r="C440" t="s">
        <v>9</v>
      </c>
      <c r="D440">
        <v>34388.620000000003</v>
      </c>
      <c r="E440">
        <v>35286.03</v>
      </c>
      <c r="F440">
        <v>33885.15</v>
      </c>
      <c r="G440">
        <v>34591.620000000003</v>
      </c>
      <c r="H440">
        <v>2923.54</v>
      </c>
      <c r="I440" t="str">
        <f t="shared" si="12"/>
        <v>Jun</v>
      </c>
      <c r="J440" t="str">
        <f t="shared" si="13"/>
        <v>BTCUSD</v>
      </c>
    </row>
    <row r="441" spans="1:10" hidden="1" x14ac:dyDescent="0.3">
      <c r="A441" s="1">
        <v>44374</v>
      </c>
      <c r="B441" t="s">
        <v>14</v>
      </c>
      <c r="C441" t="s">
        <v>9</v>
      </c>
      <c r="D441">
        <v>33149.18</v>
      </c>
      <c r="E441">
        <v>34983.42</v>
      </c>
      <c r="F441">
        <v>32374.05</v>
      </c>
      <c r="G441">
        <v>34388.620000000003</v>
      </c>
      <c r="H441">
        <v>2229.39</v>
      </c>
      <c r="I441" t="str">
        <f t="shared" si="12"/>
        <v>Jun</v>
      </c>
      <c r="J441" t="str">
        <f t="shared" si="13"/>
        <v>BTCUSD</v>
      </c>
    </row>
    <row r="442" spans="1:10" hidden="1" x14ac:dyDescent="0.3">
      <c r="A442" s="1">
        <v>44373</v>
      </c>
      <c r="B442" t="s">
        <v>14</v>
      </c>
      <c r="C442" t="s">
        <v>9</v>
      </c>
      <c r="D442">
        <v>31983.86</v>
      </c>
      <c r="E442">
        <v>33209.589999999997</v>
      </c>
      <c r="F442">
        <v>30142.68</v>
      </c>
      <c r="G442">
        <v>33149.18</v>
      </c>
      <c r="H442">
        <v>3583.91</v>
      </c>
      <c r="I442" t="str">
        <f t="shared" si="12"/>
        <v>Jun</v>
      </c>
      <c r="J442" t="str">
        <f t="shared" si="13"/>
        <v>BTCUSD</v>
      </c>
    </row>
    <row r="443" spans="1:10" hidden="1" x14ac:dyDescent="0.3">
      <c r="A443" s="1">
        <v>44372</v>
      </c>
      <c r="B443" t="s">
        <v>14</v>
      </c>
      <c r="C443" t="s">
        <v>9</v>
      </c>
      <c r="D443">
        <v>35100</v>
      </c>
      <c r="E443">
        <v>35100</v>
      </c>
      <c r="F443">
        <v>31303.71</v>
      </c>
      <c r="G443">
        <v>31983.86</v>
      </c>
      <c r="H443">
        <v>3682.14</v>
      </c>
      <c r="I443" t="str">
        <f t="shared" si="12"/>
        <v>Jun</v>
      </c>
      <c r="J443" t="str">
        <f t="shared" si="13"/>
        <v>BTCUSD</v>
      </c>
    </row>
    <row r="444" spans="1:10" hidden="1" x14ac:dyDescent="0.3">
      <c r="A444" s="1">
        <v>44371</v>
      </c>
      <c r="B444" t="s">
        <v>14</v>
      </c>
      <c r="C444" t="s">
        <v>9</v>
      </c>
      <c r="D444">
        <v>32606.959999999999</v>
      </c>
      <c r="E444">
        <v>35274.9</v>
      </c>
      <c r="F444">
        <v>32315.01</v>
      </c>
      <c r="G444">
        <v>35100</v>
      </c>
      <c r="H444">
        <v>2257.34</v>
      </c>
      <c r="I444" t="str">
        <f t="shared" si="12"/>
        <v>Jun</v>
      </c>
      <c r="J444" t="str">
        <f t="shared" si="13"/>
        <v>BTCUSD</v>
      </c>
    </row>
    <row r="445" spans="1:10" hidden="1" x14ac:dyDescent="0.3">
      <c r="A445" s="1">
        <v>44370</v>
      </c>
      <c r="B445" t="s">
        <v>14</v>
      </c>
      <c r="C445" t="s">
        <v>9</v>
      </c>
      <c r="D445">
        <v>33992.879999999997</v>
      </c>
      <c r="E445">
        <v>34851.199999999997</v>
      </c>
      <c r="F445">
        <v>32355.040000000001</v>
      </c>
      <c r="G445">
        <v>32606.959999999999</v>
      </c>
      <c r="H445">
        <v>3413.98</v>
      </c>
      <c r="I445" t="str">
        <f t="shared" si="12"/>
        <v>Jun</v>
      </c>
      <c r="J445" t="str">
        <f t="shared" si="13"/>
        <v>BTCUSD</v>
      </c>
    </row>
    <row r="446" spans="1:10" hidden="1" x14ac:dyDescent="0.3">
      <c r="A446" s="1">
        <v>44369</v>
      </c>
      <c r="B446" t="s">
        <v>14</v>
      </c>
      <c r="C446" t="s">
        <v>9</v>
      </c>
      <c r="D446">
        <v>33029.769999999997</v>
      </c>
      <c r="E446">
        <v>34392.050000000003</v>
      </c>
      <c r="F446">
        <v>28801</v>
      </c>
      <c r="G446">
        <v>33992.879999999997</v>
      </c>
      <c r="H446">
        <v>10036.629999999999</v>
      </c>
      <c r="I446" t="str">
        <f t="shared" si="12"/>
        <v>Jun</v>
      </c>
      <c r="J446" t="str">
        <f t="shared" si="13"/>
        <v>BTCUSD</v>
      </c>
    </row>
    <row r="447" spans="1:10" hidden="1" x14ac:dyDescent="0.3">
      <c r="A447" s="1">
        <v>44368</v>
      </c>
      <c r="B447" t="s">
        <v>14</v>
      </c>
      <c r="C447" t="s">
        <v>9</v>
      </c>
      <c r="D447">
        <v>34629.879999999997</v>
      </c>
      <c r="E447">
        <v>34702.68</v>
      </c>
      <c r="F447">
        <v>31176.42</v>
      </c>
      <c r="G447">
        <v>33029.769999999997</v>
      </c>
      <c r="H447">
        <v>7153.94</v>
      </c>
      <c r="I447" t="str">
        <f t="shared" si="12"/>
        <v>Jun</v>
      </c>
      <c r="J447" t="str">
        <f t="shared" si="13"/>
        <v>BTCUSD</v>
      </c>
    </row>
    <row r="448" spans="1:10" hidden="1" x14ac:dyDescent="0.3">
      <c r="A448" s="1">
        <v>44367</v>
      </c>
      <c r="B448" t="s">
        <v>14</v>
      </c>
      <c r="C448" t="s">
        <v>9</v>
      </c>
      <c r="D448">
        <v>35520.660000000003</v>
      </c>
      <c r="E448">
        <v>36128.129999999997</v>
      </c>
      <c r="F448">
        <v>33333.01</v>
      </c>
      <c r="G448">
        <v>34629.879999999997</v>
      </c>
      <c r="H448">
        <v>2816.74</v>
      </c>
      <c r="I448" t="str">
        <f t="shared" si="12"/>
        <v>Jun</v>
      </c>
      <c r="J448" t="str">
        <f t="shared" si="13"/>
        <v>BTCUSD</v>
      </c>
    </row>
    <row r="449" spans="1:10" hidden="1" x14ac:dyDescent="0.3">
      <c r="A449" s="1">
        <v>44366</v>
      </c>
      <c r="B449" t="s">
        <v>14</v>
      </c>
      <c r="C449" t="s">
        <v>9</v>
      </c>
      <c r="D449">
        <v>35129.230000000003</v>
      </c>
      <c r="E449">
        <v>36464.629999999997</v>
      </c>
      <c r="F449">
        <v>34970.25</v>
      </c>
      <c r="G449">
        <v>35520.660000000003</v>
      </c>
      <c r="H449">
        <v>1611.01</v>
      </c>
      <c r="I449" t="str">
        <f t="shared" si="12"/>
        <v>Jun</v>
      </c>
      <c r="J449" t="str">
        <f t="shared" si="13"/>
        <v>BTCUSD</v>
      </c>
    </row>
    <row r="450" spans="1:10" hidden="1" x14ac:dyDescent="0.3">
      <c r="A450" s="1">
        <v>44365</v>
      </c>
      <c r="B450" t="s">
        <v>14</v>
      </c>
      <c r="C450" t="s">
        <v>9</v>
      </c>
      <c r="D450">
        <v>37938.199999999997</v>
      </c>
      <c r="E450">
        <v>38129.089999999997</v>
      </c>
      <c r="F450">
        <v>34845.33</v>
      </c>
      <c r="G450">
        <v>35129.230000000003</v>
      </c>
      <c r="H450">
        <v>2958.68</v>
      </c>
      <c r="I450" t="str">
        <f t="shared" ref="I450:I513" si="14">TRIM(B450)</f>
        <v>Jun</v>
      </c>
      <c r="J450" t="str">
        <f t="shared" ref="J450:J513" si="15">TRIM(C450)</f>
        <v>BTCUSD</v>
      </c>
    </row>
    <row r="451" spans="1:10" hidden="1" x14ac:dyDescent="0.3">
      <c r="A451" s="1">
        <v>44364</v>
      </c>
      <c r="B451" t="s">
        <v>14</v>
      </c>
      <c r="C451" t="s">
        <v>9</v>
      </c>
      <c r="D451">
        <v>38875</v>
      </c>
      <c r="E451">
        <v>39575.03</v>
      </c>
      <c r="F451">
        <v>37221.620000000003</v>
      </c>
      <c r="G451">
        <v>37938.199999999997</v>
      </c>
      <c r="H451">
        <v>2524.23</v>
      </c>
      <c r="I451" t="str">
        <f t="shared" si="14"/>
        <v>Jun</v>
      </c>
      <c r="J451" t="str">
        <f t="shared" si="15"/>
        <v>BTCUSD</v>
      </c>
    </row>
    <row r="452" spans="1:10" hidden="1" x14ac:dyDescent="0.3">
      <c r="A452" s="1">
        <v>44363</v>
      </c>
      <c r="B452" t="s">
        <v>14</v>
      </c>
      <c r="C452" t="s">
        <v>9</v>
      </c>
      <c r="D452">
        <v>40043.69</v>
      </c>
      <c r="E452">
        <v>40490.019999999997</v>
      </c>
      <c r="F452">
        <v>38059.01</v>
      </c>
      <c r="G452">
        <v>38875</v>
      </c>
      <c r="H452">
        <v>2783.6</v>
      </c>
      <c r="I452" t="str">
        <f t="shared" si="14"/>
        <v>Jun</v>
      </c>
      <c r="J452" t="str">
        <f t="shared" si="15"/>
        <v>BTCUSD</v>
      </c>
    </row>
    <row r="453" spans="1:10" hidden="1" x14ac:dyDescent="0.3">
      <c r="A453" s="1">
        <v>44362</v>
      </c>
      <c r="B453" t="s">
        <v>14</v>
      </c>
      <c r="C453" t="s">
        <v>9</v>
      </c>
      <c r="D453">
        <v>40429.379999999997</v>
      </c>
      <c r="E453">
        <v>41380.019999999997</v>
      </c>
      <c r="F453">
        <v>39503.9</v>
      </c>
      <c r="G453">
        <v>40043.69</v>
      </c>
      <c r="H453">
        <v>2687.61</v>
      </c>
      <c r="I453" t="str">
        <f t="shared" si="14"/>
        <v>Jun</v>
      </c>
      <c r="J453" t="str">
        <f t="shared" si="15"/>
        <v>BTCUSD</v>
      </c>
    </row>
    <row r="454" spans="1:10" hidden="1" x14ac:dyDescent="0.3">
      <c r="A454" s="1">
        <v>44361</v>
      </c>
      <c r="B454" t="s">
        <v>14</v>
      </c>
      <c r="C454" t="s">
        <v>9</v>
      </c>
      <c r="D454">
        <v>38988.5</v>
      </c>
      <c r="E454">
        <v>41060.769999999997</v>
      </c>
      <c r="F454">
        <v>38807.5</v>
      </c>
      <c r="G454">
        <v>40429.379999999997</v>
      </c>
      <c r="H454">
        <v>2719.45</v>
      </c>
      <c r="I454" t="str">
        <f t="shared" si="14"/>
        <v>Jun</v>
      </c>
      <c r="J454" t="str">
        <f t="shared" si="15"/>
        <v>BTCUSD</v>
      </c>
    </row>
    <row r="455" spans="1:10" hidden="1" x14ac:dyDescent="0.3">
      <c r="A455" s="1">
        <v>44360</v>
      </c>
      <c r="B455" t="s">
        <v>14</v>
      </c>
      <c r="C455" t="s">
        <v>9</v>
      </c>
      <c r="D455">
        <v>34877.300000000003</v>
      </c>
      <c r="E455">
        <v>39816.720000000001</v>
      </c>
      <c r="F455">
        <v>34792.660000000003</v>
      </c>
      <c r="G455">
        <v>38988.5</v>
      </c>
      <c r="H455">
        <v>2406.83</v>
      </c>
      <c r="I455" t="str">
        <f t="shared" si="14"/>
        <v>Jun</v>
      </c>
      <c r="J455" t="str">
        <f t="shared" si="15"/>
        <v>BTCUSD</v>
      </c>
    </row>
    <row r="456" spans="1:10" hidden="1" x14ac:dyDescent="0.3">
      <c r="A456" s="1">
        <v>44359</v>
      </c>
      <c r="B456" t="s">
        <v>14</v>
      </c>
      <c r="C456" t="s">
        <v>9</v>
      </c>
      <c r="D456">
        <v>35591.29</v>
      </c>
      <c r="E456">
        <v>36222.800000000003</v>
      </c>
      <c r="F456">
        <v>34655.99</v>
      </c>
      <c r="G456">
        <v>34877.300000000003</v>
      </c>
      <c r="H456">
        <v>1298.1600000000001</v>
      </c>
      <c r="I456" t="str">
        <f t="shared" si="14"/>
        <v>Jun</v>
      </c>
      <c r="J456" t="str">
        <f t="shared" si="15"/>
        <v>BTCUSD</v>
      </c>
    </row>
    <row r="457" spans="1:10" hidden="1" x14ac:dyDescent="0.3">
      <c r="A457" s="1">
        <v>44358</v>
      </c>
      <c r="B457" t="s">
        <v>14</v>
      </c>
      <c r="C457" t="s">
        <v>9</v>
      </c>
      <c r="D457">
        <v>36784.370000000003</v>
      </c>
      <c r="E457">
        <v>37690</v>
      </c>
      <c r="F457">
        <v>35307.69</v>
      </c>
      <c r="G457">
        <v>35591.29</v>
      </c>
      <c r="H457">
        <v>2027.8</v>
      </c>
      <c r="I457" t="str">
        <f t="shared" si="14"/>
        <v>Jun</v>
      </c>
      <c r="J457" t="str">
        <f t="shared" si="15"/>
        <v>BTCUSD</v>
      </c>
    </row>
    <row r="458" spans="1:10" hidden="1" x14ac:dyDescent="0.3">
      <c r="A458" s="1">
        <v>44357</v>
      </c>
      <c r="B458" t="s">
        <v>14</v>
      </c>
      <c r="C458" t="s">
        <v>9</v>
      </c>
      <c r="D458">
        <v>36982.83</v>
      </c>
      <c r="E458">
        <v>38437.019999999997</v>
      </c>
      <c r="F458">
        <v>35819.67</v>
      </c>
      <c r="G458">
        <v>36784.370000000003</v>
      </c>
      <c r="H458">
        <v>2959.52</v>
      </c>
      <c r="I458" t="str">
        <f t="shared" si="14"/>
        <v>Jun</v>
      </c>
      <c r="J458" t="str">
        <f t="shared" si="15"/>
        <v>BTCUSD</v>
      </c>
    </row>
    <row r="459" spans="1:10" hidden="1" x14ac:dyDescent="0.3">
      <c r="A459" s="1">
        <v>44356</v>
      </c>
      <c r="B459" t="s">
        <v>14</v>
      </c>
      <c r="C459" t="s">
        <v>9</v>
      </c>
      <c r="D459">
        <v>32898.06</v>
      </c>
      <c r="E459">
        <v>37676.6</v>
      </c>
      <c r="F459">
        <v>32575.84</v>
      </c>
      <c r="G459">
        <v>36982.83</v>
      </c>
      <c r="H459">
        <v>4190.37</v>
      </c>
      <c r="I459" t="str">
        <f t="shared" si="14"/>
        <v>Jun</v>
      </c>
      <c r="J459" t="str">
        <f t="shared" si="15"/>
        <v>BTCUSD</v>
      </c>
    </row>
    <row r="460" spans="1:10" hidden="1" x14ac:dyDescent="0.3">
      <c r="A460" s="1">
        <v>44355</v>
      </c>
      <c r="B460" t="s">
        <v>14</v>
      </c>
      <c r="C460" t="s">
        <v>9</v>
      </c>
      <c r="D460">
        <v>32843.15</v>
      </c>
      <c r="E460">
        <v>33841.46</v>
      </c>
      <c r="F460">
        <v>31000.01</v>
      </c>
      <c r="G460">
        <v>32898.06</v>
      </c>
      <c r="H460">
        <v>5149.1899999999996</v>
      </c>
      <c r="I460" t="str">
        <f t="shared" si="14"/>
        <v>Jun</v>
      </c>
      <c r="J460" t="str">
        <f t="shared" si="15"/>
        <v>BTCUSD</v>
      </c>
    </row>
    <row r="461" spans="1:10" hidden="1" x14ac:dyDescent="0.3">
      <c r="A461" s="1">
        <v>44354</v>
      </c>
      <c r="B461" t="s">
        <v>14</v>
      </c>
      <c r="C461" t="s">
        <v>9</v>
      </c>
      <c r="D461">
        <v>36397.5</v>
      </c>
      <c r="E461">
        <v>36798.03</v>
      </c>
      <c r="F461">
        <v>32400.01</v>
      </c>
      <c r="G461">
        <v>32843.15</v>
      </c>
      <c r="H461">
        <v>3518.6</v>
      </c>
      <c r="I461" t="str">
        <f t="shared" si="14"/>
        <v>Jun</v>
      </c>
      <c r="J461" t="str">
        <f t="shared" si="15"/>
        <v>BTCUSD</v>
      </c>
    </row>
    <row r="462" spans="1:10" hidden="1" x14ac:dyDescent="0.3">
      <c r="A462" s="1">
        <v>44353</v>
      </c>
      <c r="B462" t="s">
        <v>14</v>
      </c>
      <c r="C462" t="s">
        <v>9</v>
      </c>
      <c r="D462">
        <v>36025.160000000003</v>
      </c>
      <c r="E462">
        <v>36812.089999999997</v>
      </c>
      <c r="F462">
        <v>35259.980000000003</v>
      </c>
      <c r="G462">
        <v>36397.5</v>
      </c>
      <c r="H462">
        <v>1007.72</v>
      </c>
      <c r="I462" t="str">
        <f t="shared" si="14"/>
        <v>Jun</v>
      </c>
      <c r="J462" t="str">
        <f t="shared" si="15"/>
        <v>BTCUSD</v>
      </c>
    </row>
    <row r="463" spans="1:10" hidden="1" x14ac:dyDescent="0.3">
      <c r="A463" s="1">
        <v>44352</v>
      </c>
      <c r="B463" t="s">
        <v>14</v>
      </c>
      <c r="C463" t="s">
        <v>9</v>
      </c>
      <c r="D463">
        <v>37419.82</v>
      </c>
      <c r="E463">
        <v>37918.57</v>
      </c>
      <c r="F463">
        <v>34820</v>
      </c>
      <c r="G463">
        <v>36025.160000000003</v>
      </c>
      <c r="H463">
        <v>2454.4299999999998</v>
      </c>
      <c r="I463" t="str">
        <f t="shared" si="14"/>
        <v>Jun</v>
      </c>
      <c r="J463" t="str">
        <f t="shared" si="15"/>
        <v>BTCUSD</v>
      </c>
    </row>
    <row r="464" spans="1:10" hidden="1" x14ac:dyDescent="0.3">
      <c r="A464" s="1">
        <v>44351</v>
      </c>
      <c r="B464" t="s">
        <v>14</v>
      </c>
      <c r="C464" t="s">
        <v>9</v>
      </c>
      <c r="D464">
        <v>37963.61</v>
      </c>
      <c r="E464">
        <v>37963.61</v>
      </c>
      <c r="F464">
        <v>35580.82</v>
      </c>
      <c r="G464">
        <v>37419.82</v>
      </c>
      <c r="H464">
        <v>2300.7600000000002</v>
      </c>
      <c r="I464" t="str">
        <f t="shared" si="14"/>
        <v>Jun</v>
      </c>
      <c r="J464" t="str">
        <f t="shared" si="15"/>
        <v>BTCUSD</v>
      </c>
    </row>
    <row r="465" spans="1:10" hidden="1" x14ac:dyDescent="0.3">
      <c r="A465" s="1">
        <v>44350</v>
      </c>
      <c r="B465" t="s">
        <v>14</v>
      </c>
      <c r="C465" t="s">
        <v>9</v>
      </c>
      <c r="D465">
        <v>37655.54</v>
      </c>
      <c r="E465">
        <v>39487.910000000003</v>
      </c>
      <c r="F465">
        <v>37400</v>
      </c>
      <c r="G465">
        <v>37963.61</v>
      </c>
      <c r="H465">
        <v>1786.28</v>
      </c>
      <c r="I465" t="str">
        <f t="shared" si="14"/>
        <v>Jun</v>
      </c>
      <c r="J465" t="str">
        <f t="shared" si="15"/>
        <v>BTCUSD</v>
      </c>
    </row>
    <row r="466" spans="1:10" hidden="1" x14ac:dyDescent="0.3">
      <c r="A466" s="1">
        <v>44349</v>
      </c>
      <c r="B466" t="s">
        <v>14</v>
      </c>
      <c r="C466" t="s">
        <v>9</v>
      </c>
      <c r="D466">
        <v>36483.57</v>
      </c>
      <c r="E466">
        <v>38256.400000000001</v>
      </c>
      <c r="F466">
        <v>36478.97</v>
      </c>
      <c r="G466">
        <v>37655.54</v>
      </c>
      <c r="H466">
        <v>1612.75</v>
      </c>
      <c r="I466" t="str">
        <f t="shared" si="14"/>
        <v>Jun</v>
      </c>
      <c r="J466" t="str">
        <f t="shared" si="15"/>
        <v>BTCUSD</v>
      </c>
    </row>
    <row r="467" spans="1:10" hidden="1" x14ac:dyDescent="0.3">
      <c r="A467" s="1">
        <v>44348</v>
      </c>
      <c r="B467" t="s">
        <v>14</v>
      </c>
      <c r="C467" t="s">
        <v>9</v>
      </c>
      <c r="D467">
        <v>36702.879999999997</v>
      </c>
      <c r="E467">
        <v>37448.019999999997</v>
      </c>
      <c r="F467">
        <v>35687</v>
      </c>
      <c r="G467">
        <v>36483.57</v>
      </c>
      <c r="H467">
        <v>2347.2600000000002</v>
      </c>
      <c r="I467" t="str">
        <f t="shared" si="14"/>
        <v>Jun</v>
      </c>
      <c r="J467" t="str">
        <f t="shared" si="15"/>
        <v>BTCUSD</v>
      </c>
    </row>
    <row r="468" spans="1:10" hidden="1" x14ac:dyDescent="0.3">
      <c r="A468" s="1">
        <v>44347</v>
      </c>
      <c r="B468" t="s">
        <v>13</v>
      </c>
      <c r="C468" t="s">
        <v>9</v>
      </c>
      <c r="D468">
        <v>34536.71</v>
      </c>
      <c r="E468">
        <v>37912.870000000003</v>
      </c>
      <c r="F468">
        <v>34200</v>
      </c>
      <c r="G468">
        <v>36702.879999999997</v>
      </c>
      <c r="H468">
        <v>1649.4</v>
      </c>
      <c r="I468" t="str">
        <f t="shared" si="14"/>
        <v>May</v>
      </c>
      <c r="J468" t="str">
        <f t="shared" si="15"/>
        <v>BTCUSD</v>
      </c>
    </row>
    <row r="469" spans="1:10" hidden="1" x14ac:dyDescent="0.3">
      <c r="A469" s="1">
        <v>44346</v>
      </c>
      <c r="B469" t="s">
        <v>13</v>
      </c>
      <c r="C469" t="s">
        <v>9</v>
      </c>
      <c r="D469">
        <v>34805.29</v>
      </c>
      <c r="E469">
        <v>36523.24</v>
      </c>
      <c r="F469">
        <v>34298.01</v>
      </c>
      <c r="G469">
        <v>34536.71</v>
      </c>
      <c r="H469">
        <v>1562.38</v>
      </c>
      <c r="I469" t="str">
        <f t="shared" si="14"/>
        <v>May</v>
      </c>
      <c r="J469" t="str">
        <f t="shared" si="15"/>
        <v>BTCUSD</v>
      </c>
    </row>
    <row r="470" spans="1:10" hidden="1" x14ac:dyDescent="0.3">
      <c r="A470" s="1">
        <v>44345</v>
      </c>
      <c r="B470" t="s">
        <v>13</v>
      </c>
      <c r="C470" t="s">
        <v>9</v>
      </c>
      <c r="D470">
        <v>36503.31</v>
      </c>
      <c r="E470">
        <v>37320</v>
      </c>
      <c r="F470">
        <v>33410.29</v>
      </c>
      <c r="G470">
        <v>34805.29</v>
      </c>
      <c r="H470">
        <v>2212.16</v>
      </c>
      <c r="I470" t="str">
        <f t="shared" si="14"/>
        <v>May</v>
      </c>
      <c r="J470" t="str">
        <f t="shared" si="15"/>
        <v>BTCUSD</v>
      </c>
    </row>
    <row r="471" spans="1:10" hidden="1" x14ac:dyDescent="0.3">
      <c r="A471" s="1">
        <v>44344</v>
      </c>
      <c r="B471" t="s">
        <v>13</v>
      </c>
      <c r="C471" t="s">
        <v>9</v>
      </c>
      <c r="D471">
        <v>38271.589999999997</v>
      </c>
      <c r="E471">
        <v>38271.589999999997</v>
      </c>
      <c r="F471">
        <v>34558</v>
      </c>
      <c r="G471">
        <v>36503.31</v>
      </c>
      <c r="H471">
        <v>3541.35</v>
      </c>
      <c r="I471" t="str">
        <f t="shared" si="14"/>
        <v>May</v>
      </c>
      <c r="J471" t="str">
        <f t="shared" si="15"/>
        <v>BTCUSD</v>
      </c>
    </row>
    <row r="472" spans="1:10" hidden="1" x14ac:dyDescent="0.3">
      <c r="A472" s="1">
        <v>44343</v>
      </c>
      <c r="B472" t="s">
        <v>13</v>
      </c>
      <c r="C472" t="s">
        <v>9</v>
      </c>
      <c r="D472">
        <v>37672.47</v>
      </c>
      <c r="E472">
        <v>40432.400000000001</v>
      </c>
      <c r="F472">
        <v>37302.06</v>
      </c>
      <c r="G472">
        <v>38271.589999999997</v>
      </c>
      <c r="H472">
        <v>2140.75</v>
      </c>
      <c r="I472" t="str">
        <f t="shared" si="14"/>
        <v>May</v>
      </c>
      <c r="J472" t="str">
        <f t="shared" si="15"/>
        <v>BTCUSD</v>
      </c>
    </row>
    <row r="473" spans="1:10" hidden="1" x14ac:dyDescent="0.3">
      <c r="A473" s="1">
        <v>44342</v>
      </c>
      <c r="B473" t="s">
        <v>13</v>
      </c>
      <c r="C473" t="s">
        <v>9</v>
      </c>
      <c r="D473">
        <v>39572.33</v>
      </c>
      <c r="E473">
        <v>40861.199999999997</v>
      </c>
      <c r="F473">
        <v>37117.089999999997</v>
      </c>
      <c r="G473">
        <v>37672.47</v>
      </c>
      <c r="H473">
        <v>3101.07</v>
      </c>
      <c r="I473" t="str">
        <f t="shared" si="14"/>
        <v>May</v>
      </c>
      <c r="J473" t="str">
        <f t="shared" si="15"/>
        <v>BTCUSD</v>
      </c>
    </row>
    <row r="474" spans="1:10" hidden="1" x14ac:dyDescent="0.3">
      <c r="A474" s="1">
        <v>44341</v>
      </c>
      <c r="B474" t="s">
        <v>13</v>
      </c>
      <c r="C474" t="s">
        <v>9</v>
      </c>
      <c r="D474">
        <v>38388.089999999997</v>
      </c>
      <c r="E474">
        <v>39760.959999999999</v>
      </c>
      <c r="F474">
        <v>36489.42</v>
      </c>
      <c r="G474">
        <v>39572.33</v>
      </c>
      <c r="H474">
        <v>2909.35</v>
      </c>
      <c r="I474" t="str">
        <f t="shared" si="14"/>
        <v>May</v>
      </c>
      <c r="J474" t="str">
        <f t="shared" si="15"/>
        <v>BTCUSD</v>
      </c>
    </row>
    <row r="475" spans="1:10" hidden="1" x14ac:dyDescent="0.3">
      <c r="A475" s="1">
        <v>44340</v>
      </c>
      <c r="B475" t="s">
        <v>13</v>
      </c>
      <c r="C475" t="s">
        <v>9</v>
      </c>
      <c r="D475">
        <v>35318.86</v>
      </c>
      <c r="E475">
        <v>39953.65</v>
      </c>
      <c r="F475">
        <v>34426.410000000003</v>
      </c>
      <c r="G475">
        <v>38388.089999999997</v>
      </c>
      <c r="H475">
        <v>4706.08</v>
      </c>
      <c r="I475" t="str">
        <f t="shared" si="14"/>
        <v>May</v>
      </c>
      <c r="J475" t="str">
        <f t="shared" si="15"/>
        <v>BTCUSD</v>
      </c>
    </row>
    <row r="476" spans="1:10" hidden="1" x14ac:dyDescent="0.3">
      <c r="A476" s="1">
        <v>44339</v>
      </c>
      <c r="B476" t="s">
        <v>13</v>
      </c>
      <c r="C476" t="s">
        <v>9</v>
      </c>
      <c r="D476">
        <v>37484.18</v>
      </c>
      <c r="E476">
        <v>37484.18</v>
      </c>
      <c r="F476">
        <v>31104.14</v>
      </c>
      <c r="G476">
        <v>35318.86</v>
      </c>
      <c r="H476">
        <v>7143.1</v>
      </c>
      <c r="I476" t="str">
        <f t="shared" si="14"/>
        <v>May</v>
      </c>
      <c r="J476" t="str">
        <f t="shared" si="15"/>
        <v>BTCUSD</v>
      </c>
    </row>
    <row r="477" spans="1:10" hidden="1" x14ac:dyDescent="0.3">
      <c r="A477" s="1">
        <v>44338</v>
      </c>
      <c r="B477" t="s">
        <v>13</v>
      </c>
      <c r="C477" t="s">
        <v>9</v>
      </c>
      <c r="D477">
        <v>36963.519999999997</v>
      </c>
      <c r="E477">
        <v>38861.15</v>
      </c>
      <c r="F477">
        <v>35272.089999999997</v>
      </c>
      <c r="G477">
        <v>37484.18</v>
      </c>
      <c r="H477">
        <v>2418.86</v>
      </c>
      <c r="I477" t="str">
        <f t="shared" si="14"/>
        <v>May</v>
      </c>
      <c r="J477" t="str">
        <f t="shared" si="15"/>
        <v>BTCUSD</v>
      </c>
    </row>
    <row r="478" spans="1:10" hidden="1" x14ac:dyDescent="0.3">
      <c r="A478" s="1">
        <v>44337</v>
      </c>
      <c r="B478" t="s">
        <v>13</v>
      </c>
      <c r="C478" t="s">
        <v>9</v>
      </c>
      <c r="D478">
        <v>40773.519999999997</v>
      </c>
      <c r="E478">
        <v>41796.74</v>
      </c>
      <c r="F478">
        <v>33500</v>
      </c>
      <c r="G478">
        <v>36963.519999999997</v>
      </c>
      <c r="H478">
        <v>7491.23</v>
      </c>
      <c r="I478" t="str">
        <f t="shared" si="14"/>
        <v>May</v>
      </c>
      <c r="J478" t="str">
        <f t="shared" si="15"/>
        <v>BTCUSD</v>
      </c>
    </row>
    <row r="479" spans="1:10" hidden="1" x14ac:dyDescent="0.3">
      <c r="A479" s="1">
        <v>44336</v>
      </c>
      <c r="B479" t="s">
        <v>13</v>
      </c>
      <c r="C479" t="s">
        <v>9</v>
      </c>
      <c r="D479">
        <v>38411.14</v>
      </c>
      <c r="E479">
        <v>42625.43</v>
      </c>
      <c r="F479">
        <v>38200</v>
      </c>
      <c r="G479">
        <v>40773.519999999997</v>
      </c>
      <c r="H479">
        <v>4981.3900000000003</v>
      </c>
      <c r="I479" t="str">
        <f t="shared" si="14"/>
        <v>May</v>
      </c>
      <c r="J479" t="str">
        <f t="shared" si="15"/>
        <v>BTCUSD</v>
      </c>
    </row>
    <row r="480" spans="1:10" hidden="1" x14ac:dyDescent="0.3">
      <c r="A480" s="1">
        <v>44335</v>
      </c>
      <c r="B480" t="s">
        <v>13</v>
      </c>
      <c r="C480" t="s">
        <v>9</v>
      </c>
      <c r="D480">
        <v>40570.980000000003</v>
      </c>
      <c r="E480">
        <v>40867.4</v>
      </c>
      <c r="F480">
        <v>28700</v>
      </c>
      <c r="G480">
        <v>38411.14</v>
      </c>
      <c r="H480">
        <v>18000.98</v>
      </c>
      <c r="I480" t="str">
        <f t="shared" si="14"/>
        <v>May</v>
      </c>
      <c r="J480" t="str">
        <f t="shared" si="15"/>
        <v>BTCUSD</v>
      </c>
    </row>
    <row r="481" spans="1:10" hidden="1" x14ac:dyDescent="0.3">
      <c r="A481" s="1">
        <v>44334</v>
      </c>
      <c r="B481" t="s">
        <v>13</v>
      </c>
      <c r="C481" t="s">
        <v>9</v>
      </c>
      <c r="D481">
        <v>44824.75</v>
      </c>
      <c r="E481">
        <v>45860.17</v>
      </c>
      <c r="F481">
        <v>40118</v>
      </c>
      <c r="G481">
        <v>40570.980000000003</v>
      </c>
      <c r="H481">
        <v>4778.04</v>
      </c>
      <c r="I481" t="str">
        <f t="shared" si="14"/>
        <v>May</v>
      </c>
      <c r="J481" t="str">
        <f t="shared" si="15"/>
        <v>BTCUSD</v>
      </c>
    </row>
    <row r="482" spans="1:10" hidden="1" x14ac:dyDescent="0.3">
      <c r="A482" s="1">
        <v>44333</v>
      </c>
      <c r="B482" t="s">
        <v>13</v>
      </c>
      <c r="C482" t="s">
        <v>9</v>
      </c>
      <c r="D482">
        <v>42902.09</v>
      </c>
      <c r="E482">
        <v>45833.48</v>
      </c>
      <c r="F482">
        <v>42080</v>
      </c>
      <c r="G482">
        <v>44824.75</v>
      </c>
      <c r="H482">
        <v>5764.37</v>
      </c>
      <c r="I482" t="str">
        <f t="shared" si="14"/>
        <v>May</v>
      </c>
      <c r="J482" t="str">
        <f t="shared" si="15"/>
        <v>BTCUSD</v>
      </c>
    </row>
    <row r="483" spans="1:10" hidden="1" x14ac:dyDescent="0.3">
      <c r="A483" s="1">
        <v>44332</v>
      </c>
      <c r="B483" t="s">
        <v>13</v>
      </c>
      <c r="C483" t="s">
        <v>9</v>
      </c>
      <c r="D483">
        <v>48383.6</v>
      </c>
      <c r="E483">
        <v>49790</v>
      </c>
      <c r="F483">
        <v>42793</v>
      </c>
      <c r="G483">
        <v>42902.09</v>
      </c>
      <c r="H483">
        <v>3937.04</v>
      </c>
      <c r="I483" t="str">
        <f t="shared" si="14"/>
        <v>May</v>
      </c>
      <c r="J483" t="str">
        <f t="shared" si="15"/>
        <v>BTCUSD</v>
      </c>
    </row>
    <row r="484" spans="1:10" hidden="1" x14ac:dyDescent="0.3">
      <c r="A484" s="1">
        <v>44331</v>
      </c>
      <c r="B484" t="s">
        <v>13</v>
      </c>
      <c r="C484" t="s">
        <v>9</v>
      </c>
      <c r="D484">
        <v>49670.85</v>
      </c>
      <c r="E484">
        <v>49900</v>
      </c>
      <c r="F484">
        <v>46500</v>
      </c>
      <c r="G484">
        <v>48383.6</v>
      </c>
      <c r="H484">
        <v>1938.26</v>
      </c>
      <c r="I484" t="str">
        <f t="shared" si="14"/>
        <v>May</v>
      </c>
      <c r="J484" t="str">
        <f t="shared" si="15"/>
        <v>BTCUSD</v>
      </c>
    </row>
    <row r="485" spans="1:10" hidden="1" x14ac:dyDescent="0.3">
      <c r="A485" s="1">
        <v>44330</v>
      </c>
      <c r="B485" t="s">
        <v>13</v>
      </c>
      <c r="C485" t="s">
        <v>9</v>
      </c>
      <c r="D485">
        <v>49221.07</v>
      </c>
      <c r="E485">
        <v>51575.16</v>
      </c>
      <c r="F485">
        <v>48894.79</v>
      </c>
      <c r="G485">
        <v>49670.85</v>
      </c>
      <c r="H485">
        <v>2001.31</v>
      </c>
      <c r="I485" t="str">
        <f t="shared" si="14"/>
        <v>May</v>
      </c>
      <c r="J485" t="str">
        <f t="shared" si="15"/>
        <v>BTCUSD</v>
      </c>
    </row>
    <row r="486" spans="1:10" hidden="1" x14ac:dyDescent="0.3">
      <c r="A486" s="1">
        <v>44329</v>
      </c>
      <c r="B486" t="s">
        <v>13</v>
      </c>
      <c r="C486" t="s">
        <v>9</v>
      </c>
      <c r="D486">
        <v>50493.11</v>
      </c>
      <c r="E486">
        <v>51389.95</v>
      </c>
      <c r="F486">
        <v>46962.39</v>
      </c>
      <c r="G486">
        <v>49221.07</v>
      </c>
      <c r="H486">
        <v>4250.47</v>
      </c>
      <c r="I486" t="str">
        <f t="shared" si="14"/>
        <v>May</v>
      </c>
      <c r="J486" t="str">
        <f t="shared" si="15"/>
        <v>BTCUSD</v>
      </c>
    </row>
    <row r="487" spans="1:10" hidden="1" x14ac:dyDescent="0.3">
      <c r="A487" s="1">
        <v>44328</v>
      </c>
      <c r="B487" t="s">
        <v>13</v>
      </c>
      <c r="C487" t="s">
        <v>9</v>
      </c>
      <c r="D487">
        <v>57820</v>
      </c>
      <c r="E487">
        <v>57998.26</v>
      </c>
      <c r="F487">
        <v>45000</v>
      </c>
      <c r="G487">
        <v>50493.11</v>
      </c>
      <c r="H487">
        <v>6438.29</v>
      </c>
      <c r="I487" t="str">
        <f t="shared" si="14"/>
        <v>May</v>
      </c>
      <c r="J487" t="str">
        <f t="shared" si="15"/>
        <v>BTCUSD</v>
      </c>
    </row>
    <row r="488" spans="1:10" hidden="1" x14ac:dyDescent="0.3">
      <c r="A488" s="1">
        <v>44327</v>
      </c>
      <c r="B488" t="s">
        <v>13</v>
      </c>
      <c r="C488" t="s">
        <v>9</v>
      </c>
      <c r="D488">
        <v>55194.75</v>
      </c>
      <c r="E488">
        <v>57898</v>
      </c>
      <c r="F488">
        <v>54684</v>
      </c>
      <c r="G488">
        <v>57820</v>
      </c>
      <c r="H488">
        <v>1432.56</v>
      </c>
      <c r="I488" t="str">
        <f t="shared" si="14"/>
        <v>May</v>
      </c>
      <c r="J488" t="str">
        <f t="shared" si="15"/>
        <v>BTCUSD</v>
      </c>
    </row>
    <row r="489" spans="1:10" hidden="1" x14ac:dyDescent="0.3">
      <c r="A489" s="1">
        <v>44326</v>
      </c>
      <c r="B489" t="s">
        <v>13</v>
      </c>
      <c r="C489" t="s">
        <v>9</v>
      </c>
      <c r="D489">
        <v>59407.78</v>
      </c>
      <c r="E489">
        <v>59584.99</v>
      </c>
      <c r="F489">
        <v>53434.31</v>
      </c>
      <c r="G489">
        <v>55194.75</v>
      </c>
      <c r="H489">
        <v>2583.42</v>
      </c>
      <c r="I489" t="str">
        <f t="shared" si="14"/>
        <v>May</v>
      </c>
      <c r="J489" t="str">
        <f t="shared" si="15"/>
        <v>BTCUSD</v>
      </c>
    </row>
    <row r="490" spans="1:10" hidden="1" x14ac:dyDescent="0.3">
      <c r="A490" s="1">
        <v>44325</v>
      </c>
      <c r="B490" t="s">
        <v>13</v>
      </c>
      <c r="C490" t="s">
        <v>9</v>
      </c>
      <c r="D490">
        <v>58545.16</v>
      </c>
      <c r="E490">
        <v>59481.34</v>
      </c>
      <c r="F490">
        <v>56275.13</v>
      </c>
      <c r="G490">
        <v>59407.78</v>
      </c>
      <c r="H490">
        <v>1710.38</v>
      </c>
      <c r="I490" t="str">
        <f t="shared" si="14"/>
        <v>May</v>
      </c>
      <c r="J490" t="str">
        <f t="shared" si="15"/>
        <v>BTCUSD</v>
      </c>
    </row>
    <row r="491" spans="1:10" hidden="1" x14ac:dyDescent="0.3">
      <c r="A491" s="1">
        <v>44324</v>
      </c>
      <c r="B491" t="s">
        <v>13</v>
      </c>
      <c r="C491" t="s">
        <v>9</v>
      </c>
      <c r="D491">
        <v>58187.76</v>
      </c>
      <c r="E491">
        <v>59560</v>
      </c>
      <c r="F491">
        <v>57583.09</v>
      </c>
      <c r="G491">
        <v>58545.16</v>
      </c>
      <c r="H491">
        <v>1692.08</v>
      </c>
      <c r="I491" t="str">
        <f t="shared" si="14"/>
        <v>May</v>
      </c>
      <c r="J491" t="str">
        <f t="shared" si="15"/>
        <v>BTCUSD</v>
      </c>
    </row>
    <row r="492" spans="1:10" hidden="1" x14ac:dyDescent="0.3">
      <c r="A492" s="1">
        <v>44323</v>
      </c>
      <c r="B492" t="s">
        <v>13</v>
      </c>
      <c r="C492" t="s">
        <v>9</v>
      </c>
      <c r="D492">
        <v>55762.28</v>
      </c>
      <c r="E492">
        <v>58750</v>
      </c>
      <c r="F492">
        <v>55292.22</v>
      </c>
      <c r="G492">
        <v>58187.76</v>
      </c>
      <c r="H492">
        <v>1591.2</v>
      </c>
      <c r="I492" t="str">
        <f t="shared" si="14"/>
        <v>May</v>
      </c>
      <c r="J492" t="str">
        <f t="shared" si="15"/>
        <v>BTCUSD</v>
      </c>
    </row>
    <row r="493" spans="1:10" hidden="1" x14ac:dyDescent="0.3">
      <c r="A493" s="1">
        <v>44322</v>
      </c>
      <c r="B493" t="s">
        <v>13</v>
      </c>
      <c r="C493" t="s">
        <v>9</v>
      </c>
      <c r="D493">
        <v>56900.44</v>
      </c>
      <c r="E493">
        <v>58465.93</v>
      </c>
      <c r="F493">
        <v>55200</v>
      </c>
      <c r="G493">
        <v>55762.28</v>
      </c>
      <c r="H493">
        <v>1494.9</v>
      </c>
      <c r="I493" t="str">
        <f t="shared" si="14"/>
        <v>May</v>
      </c>
      <c r="J493" t="str">
        <f t="shared" si="15"/>
        <v>BTCUSD</v>
      </c>
    </row>
    <row r="494" spans="1:10" hidden="1" x14ac:dyDescent="0.3">
      <c r="A494" s="1">
        <v>44321</v>
      </c>
      <c r="B494" t="s">
        <v>13</v>
      </c>
      <c r="C494" t="s">
        <v>9</v>
      </c>
      <c r="D494">
        <v>54832.2</v>
      </c>
      <c r="E494">
        <v>57974.07</v>
      </c>
      <c r="F494">
        <v>53158.68</v>
      </c>
      <c r="G494">
        <v>56900.44</v>
      </c>
      <c r="H494">
        <v>2430.66</v>
      </c>
      <c r="I494" t="str">
        <f t="shared" si="14"/>
        <v>May</v>
      </c>
      <c r="J494" t="str">
        <f t="shared" si="15"/>
        <v>BTCUSD</v>
      </c>
    </row>
    <row r="495" spans="1:10" hidden="1" x14ac:dyDescent="0.3">
      <c r="A495" s="1">
        <v>44320</v>
      </c>
      <c r="B495" t="s">
        <v>13</v>
      </c>
      <c r="C495" t="s">
        <v>9</v>
      </c>
      <c r="D495">
        <v>55511.37</v>
      </c>
      <c r="E495">
        <v>56659.5</v>
      </c>
      <c r="F495">
        <v>52947.09</v>
      </c>
      <c r="G495">
        <v>54832.2</v>
      </c>
      <c r="H495">
        <v>2880.08</v>
      </c>
      <c r="I495" t="str">
        <f t="shared" si="14"/>
        <v>May</v>
      </c>
      <c r="J495" t="str">
        <f t="shared" si="15"/>
        <v>BTCUSD</v>
      </c>
    </row>
    <row r="496" spans="1:10" hidden="1" x14ac:dyDescent="0.3">
      <c r="A496" s="1">
        <v>44319</v>
      </c>
      <c r="B496" t="s">
        <v>13</v>
      </c>
      <c r="C496" t="s">
        <v>9</v>
      </c>
      <c r="D496">
        <v>57970.74</v>
      </c>
      <c r="E496">
        <v>58988.52</v>
      </c>
      <c r="F496">
        <v>54654.65</v>
      </c>
      <c r="G496">
        <v>55511.37</v>
      </c>
      <c r="H496">
        <v>2363.15</v>
      </c>
      <c r="I496" t="str">
        <f t="shared" si="14"/>
        <v>May</v>
      </c>
      <c r="J496" t="str">
        <f t="shared" si="15"/>
        <v>BTCUSD</v>
      </c>
    </row>
    <row r="497" spans="1:10" hidden="1" x14ac:dyDescent="0.3">
      <c r="A497" s="1">
        <v>44318</v>
      </c>
      <c r="B497" t="s">
        <v>13</v>
      </c>
      <c r="C497" t="s">
        <v>9</v>
      </c>
      <c r="D497">
        <v>56547.4</v>
      </c>
      <c r="E497">
        <v>58293.35</v>
      </c>
      <c r="F497">
        <v>56104.4</v>
      </c>
      <c r="G497">
        <v>57970.74</v>
      </c>
      <c r="H497">
        <v>653.63</v>
      </c>
      <c r="I497" t="str">
        <f t="shared" si="14"/>
        <v>May</v>
      </c>
      <c r="J497" t="str">
        <f t="shared" si="15"/>
        <v>BTCUSD</v>
      </c>
    </row>
    <row r="498" spans="1:10" hidden="1" x14ac:dyDescent="0.3">
      <c r="A498" s="1">
        <v>44317</v>
      </c>
      <c r="B498" t="s">
        <v>13</v>
      </c>
      <c r="C498" t="s">
        <v>9</v>
      </c>
      <c r="D498">
        <v>58272.25</v>
      </c>
      <c r="E498">
        <v>300000</v>
      </c>
      <c r="F498">
        <v>56408.62</v>
      </c>
      <c r="G498">
        <v>56547.4</v>
      </c>
      <c r="H498">
        <v>538.94000000000005</v>
      </c>
      <c r="I498" t="str">
        <f t="shared" si="14"/>
        <v>May</v>
      </c>
      <c r="J498" t="str">
        <f t="shared" si="15"/>
        <v>BTCUSD</v>
      </c>
    </row>
    <row r="499" spans="1:10" hidden="1" x14ac:dyDescent="0.3">
      <c r="A499" s="1">
        <v>44316</v>
      </c>
      <c r="B499" t="s">
        <v>12</v>
      </c>
      <c r="C499" t="s">
        <v>9</v>
      </c>
      <c r="D499">
        <v>53750.01</v>
      </c>
      <c r="E499">
        <v>58553.71</v>
      </c>
      <c r="F499">
        <v>53750.01</v>
      </c>
      <c r="G499">
        <v>58272.25</v>
      </c>
      <c r="H499">
        <v>1869.51</v>
      </c>
      <c r="I499" t="str">
        <f t="shared" si="14"/>
        <v>Apr</v>
      </c>
      <c r="J499" t="str">
        <f t="shared" si="15"/>
        <v>BTCUSD</v>
      </c>
    </row>
    <row r="500" spans="1:10" hidden="1" x14ac:dyDescent="0.3">
      <c r="A500" s="1">
        <v>44315</v>
      </c>
      <c r="B500" t="s">
        <v>12</v>
      </c>
      <c r="C500" t="s">
        <v>9</v>
      </c>
      <c r="D500">
        <v>54312.41</v>
      </c>
      <c r="E500">
        <v>54755.360000000001</v>
      </c>
      <c r="F500">
        <v>52389.42</v>
      </c>
      <c r="G500">
        <v>53750.01</v>
      </c>
      <c r="H500">
        <v>1561.01</v>
      </c>
      <c r="I500" t="str">
        <f t="shared" si="14"/>
        <v>Apr</v>
      </c>
      <c r="J500" t="str">
        <f t="shared" si="15"/>
        <v>BTCUSD</v>
      </c>
    </row>
    <row r="501" spans="1:10" hidden="1" x14ac:dyDescent="0.3">
      <c r="A501" s="1">
        <v>44314</v>
      </c>
      <c r="B501" t="s">
        <v>12</v>
      </c>
      <c r="C501" t="s">
        <v>9</v>
      </c>
      <c r="D501">
        <v>54883.25</v>
      </c>
      <c r="E501">
        <v>56474.720000000001</v>
      </c>
      <c r="F501">
        <v>53861.120000000003</v>
      </c>
      <c r="G501">
        <v>54312.41</v>
      </c>
      <c r="H501">
        <v>1628.45</v>
      </c>
      <c r="I501" t="str">
        <f t="shared" si="14"/>
        <v>Apr</v>
      </c>
      <c r="J501" t="str">
        <f t="shared" si="15"/>
        <v>BTCUSD</v>
      </c>
    </row>
    <row r="502" spans="1:10" hidden="1" x14ac:dyDescent="0.3">
      <c r="A502" s="1">
        <v>44313</v>
      </c>
      <c r="B502" t="s">
        <v>12</v>
      </c>
      <c r="C502" t="s">
        <v>9</v>
      </c>
      <c r="D502">
        <v>53531.94</v>
      </c>
      <c r="E502">
        <v>55800</v>
      </c>
      <c r="F502">
        <v>53345.62</v>
      </c>
      <c r="G502">
        <v>54883.25</v>
      </c>
      <c r="H502">
        <v>1508.58</v>
      </c>
      <c r="I502" t="str">
        <f t="shared" si="14"/>
        <v>Apr</v>
      </c>
      <c r="J502" t="str">
        <f t="shared" si="15"/>
        <v>BTCUSD</v>
      </c>
    </row>
    <row r="503" spans="1:10" hidden="1" x14ac:dyDescent="0.3">
      <c r="A503" s="1">
        <v>44312</v>
      </c>
      <c r="B503" t="s">
        <v>12</v>
      </c>
      <c r="C503" t="s">
        <v>9</v>
      </c>
      <c r="D503">
        <v>52435.9</v>
      </c>
      <c r="E503">
        <v>54419.57</v>
      </c>
      <c r="F503">
        <v>52096.87</v>
      </c>
      <c r="G503">
        <v>53531.94</v>
      </c>
      <c r="H503">
        <v>1804.88</v>
      </c>
      <c r="I503" t="str">
        <f t="shared" si="14"/>
        <v>Apr</v>
      </c>
      <c r="J503" t="str">
        <f t="shared" si="15"/>
        <v>BTCUSD</v>
      </c>
    </row>
    <row r="504" spans="1:10" hidden="1" x14ac:dyDescent="0.3">
      <c r="A504" s="1">
        <v>44311</v>
      </c>
      <c r="B504" t="s">
        <v>12</v>
      </c>
      <c r="C504" t="s">
        <v>9</v>
      </c>
      <c r="D504">
        <v>49721.97</v>
      </c>
      <c r="E504">
        <v>52567.77</v>
      </c>
      <c r="F504">
        <v>47000</v>
      </c>
      <c r="G504">
        <v>52435.9</v>
      </c>
      <c r="H504">
        <v>2662.93</v>
      </c>
      <c r="I504" t="str">
        <f t="shared" si="14"/>
        <v>Apr</v>
      </c>
      <c r="J504" t="str">
        <f t="shared" si="15"/>
        <v>BTCUSD</v>
      </c>
    </row>
    <row r="505" spans="1:10" hidden="1" x14ac:dyDescent="0.3">
      <c r="A505" s="1">
        <v>44310</v>
      </c>
      <c r="B505" t="s">
        <v>12</v>
      </c>
      <c r="C505" t="s">
        <v>9</v>
      </c>
      <c r="D505">
        <v>50195.42</v>
      </c>
      <c r="E505">
        <v>51150.01</v>
      </c>
      <c r="F505">
        <v>48755.01</v>
      </c>
      <c r="G505">
        <v>49721.97</v>
      </c>
      <c r="H505">
        <v>943.26</v>
      </c>
      <c r="I505" t="str">
        <f t="shared" si="14"/>
        <v>Apr</v>
      </c>
      <c r="J505" t="str">
        <f t="shared" si="15"/>
        <v>BTCUSD</v>
      </c>
    </row>
    <row r="506" spans="1:10" hidden="1" x14ac:dyDescent="0.3">
      <c r="A506" s="1">
        <v>44309</v>
      </c>
      <c r="B506" t="s">
        <v>12</v>
      </c>
      <c r="C506" t="s">
        <v>9</v>
      </c>
      <c r="D506">
        <v>50329.66</v>
      </c>
      <c r="E506">
        <v>51380.03</v>
      </c>
      <c r="F506">
        <v>47231</v>
      </c>
      <c r="G506">
        <v>50195.42</v>
      </c>
      <c r="H506">
        <v>3250.51</v>
      </c>
      <c r="I506" t="str">
        <f t="shared" si="14"/>
        <v>Apr</v>
      </c>
      <c r="J506" t="str">
        <f t="shared" si="15"/>
        <v>BTCUSD</v>
      </c>
    </row>
    <row r="507" spans="1:10" hidden="1" x14ac:dyDescent="0.3">
      <c r="A507" s="1">
        <v>44308</v>
      </c>
      <c r="B507" t="s">
        <v>12</v>
      </c>
      <c r="C507" t="s">
        <v>9</v>
      </c>
      <c r="D507">
        <v>53508.08</v>
      </c>
      <c r="E507">
        <v>55499.99</v>
      </c>
      <c r="F507">
        <v>48565.58</v>
      </c>
      <c r="G507">
        <v>50329.66</v>
      </c>
      <c r="H507">
        <v>4415.7</v>
      </c>
      <c r="I507" t="str">
        <f t="shared" si="14"/>
        <v>Apr</v>
      </c>
      <c r="J507" t="str">
        <f t="shared" si="15"/>
        <v>BTCUSD</v>
      </c>
    </row>
    <row r="508" spans="1:10" hidden="1" x14ac:dyDescent="0.3">
      <c r="A508" s="1">
        <v>44307</v>
      </c>
      <c r="B508" t="s">
        <v>12</v>
      </c>
      <c r="C508" t="s">
        <v>9</v>
      </c>
      <c r="D508">
        <v>55255.57</v>
      </c>
      <c r="E508">
        <v>56373</v>
      </c>
      <c r="F508">
        <v>52600</v>
      </c>
      <c r="G508">
        <v>53508.08</v>
      </c>
      <c r="H508">
        <v>2243.11</v>
      </c>
      <c r="I508" t="str">
        <f t="shared" si="14"/>
        <v>Apr</v>
      </c>
      <c r="J508" t="str">
        <f t="shared" si="15"/>
        <v>BTCUSD</v>
      </c>
    </row>
    <row r="509" spans="1:10" hidden="1" x14ac:dyDescent="0.3">
      <c r="A509" s="1">
        <v>44306</v>
      </c>
      <c r="B509" t="s">
        <v>12</v>
      </c>
      <c r="C509" t="s">
        <v>9</v>
      </c>
      <c r="D509">
        <v>54586.65</v>
      </c>
      <c r="E509">
        <v>57145.34</v>
      </c>
      <c r="F509">
        <v>53416.76</v>
      </c>
      <c r="G509">
        <v>55255.57</v>
      </c>
      <c r="H509">
        <v>2353.91</v>
      </c>
      <c r="I509" t="str">
        <f t="shared" si="14"/>
        <v>Apr</v>
      </c>
      <c r="J509" t="str">
        <f t="shared" si="15"/>
        <v>BTCUSD</v>
      </c>
    </row>
    <row r="510" spans="1:10" hidden="1" x14ac:dyDescent="0.3">
      <c r="A510" s="1">
        <v>44305</v>
      </c>
      <c r="B510" t="s">
        <v>12</v>
      </c>
      <c r="C510" t="s">
        <v>9</v>
      </c>
      <c r="D510">
        <v>57175.61</v>
      </c>
      <c r="E510">
        <v>57624.66</v>
      </c>
      <c r="F510">
        <v>53606.41</v>
      </c>
      <c r="G510">
        <v>54586.65</v>
      </c>
      <c r="H510">
        <v>2832.89</v>
      </c>
      <c r="I510" t="str">
        <f t="shared" si="14"/>
        <v>Apr</v>
      </c>
      <c r="J510" t="str">
        <f t="shared" si="15"/>
        <v>BTCUSD</v>
      </c>
    </row>
    <row r="511" spans="1:10" hidden="1" x14ac:dyDescent="0.3">
      <c r="A511" s="1">
        <v>44304</v>
      </c>
      <c r="B511" t="s">
        <v>12</v>
      </c>
      <c r="C511" t="s">
        <v>9</v>
      </c>
      <c r="D511">
        <v>55992.97</v>
      </c>
      <c r="E511">
        <v>57404.04</v>
      </c>
      <c r="F511">
        <v>53176.36</v>
      </c>
      <c r="G511">
        <v>57175.61</v>
      </c>
      <c r="H511">
        <v>3720.3</v>
      </c>
      <c r="I511" t="str">
        <f t="shared" si="14"/>
        <v>Apr</v>
      </c>
      <c r="J511" t="str">
        <f t="shared" si="15"/>
        <v>BTCUSD</v>
      </c>
    </row>
    <row r="512" spans="1:10" hidden="1" x14ac:dyDescent="0.3">
      <c r="A512" s="1">
        <v>44303</v>
      </c>
      <c r="B512" t="s">
        <v>12</v>
      </c>
      <c r="C512" t="s">
        <v>9</v>
      </c>
      <c r="D512">
        <v>62450</v>
      </c>
      <c r="E512">
        <v>62545.78</v>
      </c>
      <c r="F512">
        <v>50622.32</v>
      </c>
      <c r="G512">
        <v>55992.97</v>
      </c>
      <c r="H512">
        <v>2586.09</v>
      </c>
      <c r="I512" t="str">
        <f t="shared" si="14"/>
        <v>Apr</v>
      </c>
      <c r="J512" t="str">
        <f t="shared" si="15"/>
        <v>BTCUSD</v>
      </c>
    </row>
    <row r="513" spans="1:10" hidden="1" x14ac:dyDescent="0.3">
      <c r="A513" s="1">
        <v>44302</v>
      </c>
      <c r="B513" t="s">
        <v>12</v>
      </c>
      <c r="C513" t="s">
        <v>9</v>
      </c>
      <c r="D513">
        <v>62998.68</v>
      </c>
      <c r="E513">
        <v>62998.68</v>
      </c>
      <c r="F513">
        <v>60055.14</v>
      </c>
      <c r="G513">
        <v>62450</v>
      </c>
      <c r="H513">
        <v>2319.6</v>
      </c>
      <c r="I513" t="str">
        <f t="shared" si="14"/>
        <v>Apr</v>
      </c>
      <c r="J513" t="str">
        <f t="shared" si="15"/>
        <v>BTCUSD</v>
      </c>
    </row>
    <row r="514" spans="1:10" hidden="1" x14ac:dyDescent="0.3">
      <c r="A514" s="1">
        <v>44301</v>
      </c>
      <c r="B514" t="s">
        <v>12</v>
      </c>
      <c r="C514" t="s">
        <v>9</v>
      </c>
      <c r="D514">
        <v>63063.72</v>
      </c>
      <c r="E514">
        <v>63855.12</v>
      </c>
      <c r="F514">
        <v>62045</v>
      </c>
      <c r="G514">
        <v>62998.68</v>
      </c>
      <c r="H514">
        <v>1328.55</v>
      </c>
      <c r="I514" t="str">
        <f t="shared" ref="I514:I577" si="16">TRIM(B514)</f>
        <v>Apr</v>
      </c>
      <c r="J514" t="str">
        <f t="shared" ref="J514:J577" si="17">TRIM(C514)</f>
        <v>BTCUSD</v>
      </c>
    </row>
    <row r="515" spans="1:10" hidden="1" x14ac:dyDescent="0.3">
      <c r="A515" s="1">
        <v>44300</v>
      </c>
      <c r="B515" t="s">
        <v>12</v>
      </c>
      <c r="C515" t="s">
        <v>9</v>
      </c>
      <c r="D515">
        <v>63773.18</v>
      </c>
      <c r="E515">
        <v>64900</v>
      </c>
      <c r="F515">
        <v>61303.97</v>
      </c>
      <c r="G515">
        <v>63063.72</v>
      </c>
      <c r="H515">
        <v>2922.03</v>
      </c>
      <c r="I515" t="str">
        <f t="shared" si="16"/>
        <v>Apr</v>
      </c>
      <c r="J515" t="str">
        <f t="shared" si="17"/>
        <v>BTCUSD</v>
      </c>
    </row>
    <row r="516" spans="1:10" hidden="1" x14ac:dyDescent="0.3">
      <c r="A516" s="1">
        <v>44299</v>
      </c>
      <c r="B516" t="s">
        <v>12</v>
      </c>
      <c r="C516" t="s">
        <v>9</v>
      </c>
      <c r="D516">
        <v>60415.91</v>
      </c>
      <c r="E516">
        <v>63880</v>
      </c>
      <c r="F516">
        <v>60321.120000000003</v>
      </c>
      <c r="G516">
        <v>63773.18</v>
      </c>
      <c r="H516">
        <v>2091.4299999999998</v>
      </c>
      <c r="I516" t="str">
        <f t="shared" si="16"/>
        <v>Apr</v>
      </c>
      <c r="J516" t="str">
        <f t="shared" si="17"/>
        <v>BTCUSD</v>
      </c>
    </row>
    <row r="517" spans="1:10" hidden="1" x14ac:dyDescent="0.3">
      <c r="A517" s="1">
        <v>44298</v>
      </c>
      <c r="B517" t="s">
        <v>12</v>
      </c>
      <c r="C517" t="s">
        <v>9</v>
      </c>
      <c r="D517">
        <v>60325.66</v>
      </c>
      <c r="E517">
        <v>61197.09</v>
      </c>
      <c r="F517">
        <v>59400.01</v>
      </c>
      <c r="G517">
        <v>60415.91</v>
      </c>
      <c r="H517">
        <v>1343.29</v>
      </c>
      <c r="I517" t="str">
        <f t="shared" si="16"/>
        <v>Apr</v>
      </c>
      <c r="J517" t="str">
        <f t="shared" si="17"/>
        <v>BTCUSD</v>
      </c>
    </row>
    <row r="518" spans="1:10" hidden="1" x14ac:dyDescent="0.3">
      <c r="A518" s="1">
        <v>44297</v>
      </c>
      <c r="B518" t="s">
        <v>12</v>
      </c>
      <c r="C518" t="s">
        <v>9</v>
      </c>
      <c r="D518">
        <v>60240.83</v>
      </c>
      <c r="E518">
        <v>60416.42</v>
      </c>
      <c r="F518">
        <v>59200</v>
      </c>
      <c r="G518">
        <v>60325.66</v>
      </c>
      <c r="H518">
        <v>644.47</v>
      </c>
      <c r="I518" t="str">
        <f t="shared" si="16"/>
        <v>Apr</v>
      </c>
      <c r="J518" t="str">
        <f t="shared" si="17"/>
        <v>BTCUSD</v>
      </c>
    </row>
    <row r="519" spans="1:10" hidden="1" x14ac:dyDescent="0.3">
      <c r="A519" s="1">
        <v>44296</v>
      </c>
      <c r="B519" t="s">
        <v>12</v>
      </c>
      <c r="C519" t="s">
        <v>9</v>
      </c>
      <c r="D519">
        <v>59160</v>
      </c>
      <c r="E519">
        <v>61180</v>
      </c>
      <c r="F519">
        <v>58316.33</v>
      </c>
      <c r="G519">
        <v>60240.83</v>
      </c>
      <c r="H519">
        <v>1344.77</v>
      </c>
      <c r="I519" t="str">
        <f t="shared" si="16"/>
        <v>Apr</v>
      </c>
      <c r="J519" t="str">
        <f t="shared" si="17"/>
        <v>BTCUSD</v>
      </c>
    </row>
    <row r="520" spans="1:10" hidden="1" x14ac:dyDescent="0.3">
      <c r="A520" s="1">
        <v>44295</v>
      </c>
      <c r="B520" t="s">
        <v>12</v>
      </c>
      <c r="C520" t="s">
        <v>9</v>
      </c>
      <c r="D520">
        <v>58014.19</v>
      </c>
      <c r="E520">
        <v>59170</v>
      </c>
      <c r="F520">
        <v>57689.72</v>
      </c>
      <c r="G520">
        <v>59160</v>
      </c>
      <c r="H520">
        <v>930.34</v>
      </c>
      <c r="I520" t="str">
        <f t="shared" si="16"/>
        <v>Apr</v>
      </c>
      <c r="J520" t="str">
        <f t="shared" si="17"/>
        <v>BTCUSD</v>
      </c>
    </row>
    <row r="521" spans="1:10" hidden="1" x14ac:dyDescent="0.3">
      <c r="A521" s="1">
        <v>44294</v>
      </c>
      <c r="B521" t="s">
        <v>12</v>
      </c>
      <c r="C521" t="s">
        <v>9</v>
      </c>
      <c r="D521">
        <v>56559.59</v>
      </c>
      <c r="E521">
        <v>58400</v>
      </c>
      <c r="F521">
        <v>56370.7</v>
      </c>
      <c r="G521">
        <v>58014.19</v>
      </c>
      <c r="H521">
        <v>762.92</v>
      </c>
      <c r="I521" t="str">
        <f t="shared" si="16"/>
        <v>Apr</v>
      </c>
      <c r="J521" t="str">
        <f t="shared" si="17"/>
        <v>BTCUSD</v>
      </c>
    </row>
    <row r="522" spans="1:10" hidden="1" x14ac:dyDescent="0.3">
      <c r="A522" s="1">
        <v>44293</v>
      </c>
      <c r="B522" t="s">
        <v>12</v>
      </c>
      <c r="C522" t="s">
        <v>9</v>
      </c>
      <c r="D522">
        <v>57934.16</v>
      </c>
      <c r="E522">
        <v>58675.79</v>
      </c>
      <c r="F522">
        <v>55450</v>
      </c>
      <c r="G522">
        <v>56559.59</v>
      </c>
      <c r="H522">
        <v>1994.91</v>
      </c>
      <c r="I522" t="str">
        <f t="shared" si="16"/>
        <v>Apr</v>
      </c>
      <c r="J522" t="str">
        <f t="shared" si="17"/>
        <v>BTCUSD</v>
      </c>
    </row>
    <row r="523" spans="1:10" hidden="1" x14ac:dyDescent="0.3">
      <c r="A523" s="1">
        <v>44292</v>
      </c>
      <c r="B523" t="s">
        <v>12</v>
      </c>
      <c r="C523" t="s">
        <v>9</v>
      </c>
      <c r="D523">
        <v>58638.14</v>
      </c>
      <c r="E523">
        <v>59028.19</v>
      </c>
      <c r="F523">
        <v>57255</v>
      </c>
      <c r="G523">
        <v>57934.16</v>
      </c>
      <c r="H523">
        <v>1173.72</v>
      </c>
      <c r="I523" t="str">
        <f t="shared" si="16"/>
        <v>Apr</v>
      </c>
      <c r="J523" t="str">
        <f t="shared" si="17"/>
        <v>BTCUSD</v>
      </c>
    </row>
    <row r="524" spans="1:10" hidden="1" x14ac:dyDescent="0.3">
      <c r="A524" s="1">
        <v>44291</v>
      </c>
      <c r="B524" t="s">
        <v>12</v>
      </c>
      <c r="C524" t="s">
        <v>9</v>
      </c>
      <c r="D524">
        <v>57479.64</v>
      </c>
      <c r="E524">
        <v>59468.95</v>
      </c>
      <c r="F524">
        <v>56810.28</v>
      </c>
      <c r="G524">
        <v>58638.14</v>
      </c>
      <c r="H524">
        <v>845.18</v>
      </c>
      <c r="I524" t="str">
        <f t="shared" si="16"/>
        <v>Apr</v>
      </c>
      <c r="J524" t="str">
        <f t="shared" si="17"/>
        <v>BTCUSD</v>
      </c>
    </row>
    <row r="525" spans="1:10" hidden="1" x14ac:dyDescent="0.3">
      <c r="A525" s="1">
        <v>44290</v>
      </c>
      <c r="B525" t="s">
        <v>12</v>
      </c>
      <c r="C525" t="s">
        <v>9</v>
      </c>
      <c r="D525">
        <v>57557.71</v>
      </c>
      <c r="E525">
        <v>58500.94</v>
      </c>
      <c r="F525">
        <v>57042.53</v>
      </c>
      <c r="G525">
        <v>57479.64</v>
      </c>
      <c r="H525">
        <v>288.3</v>
      </c>
      <c r="I525" t="str">
        <f t="shared" si="16"/>
        <v>Apr</v>
      </c>
      <c r="J525" t="str">
        <f t="shared" si="17"/>
        <v>BTCUSD</v>
      </c>
    </row>
    <row r="526" spans="1:10" hidden="1" x14ac:dyDescent="0.3">
      <c r="A526" s="1">
        <v>44289</v>
      </c>
      <c r="B526" t="s">
        <v>12</v>
      </c>
      <c r="C526" t="s">
        <v>9</v>
      </c>
      <c r="D526">
        <v>59251.040000000001</v>
      </c>
      <c r="E526">
        <v>59851.519999999997</v>
      </c>
      <c r="F526">
        <v>56500</v>
      </c>
      <c r="G526">
        <v>57557.71</v>
      </c>
      <c r="H526">
        <v>834.45</v>
      </c>
      <c r="I526" t="str">
        <f t="shared" si="16"/>
        <v>Apr</v>
      </c>
      <c r="J526" t="str">
        <f t="shared" si="17"/>
        <v>BTCUSD</v>
      </c>
    </row>
    <row r="527" spans="1:10" hidden="1" x14ac:dyDescent="0.3">
      <c r="A527" s="1">
        <v>44288</v>
      </c>
      <c r="B527" t="s">
        <v>12</v>
      </c>
      <c r="C527" t="s">
        <v>9</v>
      </c>
      <c r="D527">
        <v>59800</v>
      </c>
      <c r="E527">
        <v>59950</v>
      </c>
      <c r="F527">
        <v>58485.68</v>
      </c>
      <c r="G527">
        <v>59251.040000000001</v>
      </c>
      <c r="H527">
        <v>760.64</v>
      </c>
      <c r="I527" t="str">
        <f t="shared" si="16"/>
        <v>Apr</v>
      </c>
      <c r="J527" t="str">
        <f t="shared" si="17"/>
        <v>BTCUSD</v>
      </c>
    </row>
    <row r="528" spans="1:10" hidden="1" x14ac:dyDescent="0.3">
      <c r="A528" s="1">
        <v>44287</v>
      </c>
      <c r="B528" t="s">
        <v>12</v>
      </c>
      <c r="C528" t="s">
        <v>9</v>
      </c>
      <c r="D528">
        <v>59143.58</v>
      </c>
      <c r="E528">
        <v>60100</v>
      </c>
      <c r="F528">
        <v>57946.28</v>
      </c>
      <c r="G528">
        <v>59800</v>
      </c>
      <c r="H528">
        <v>1221</v>
      </c>
      <c r="I528" t="str">
        <f t="shared" si="16"/>
        <v>Apr</v>
      </c>
      <c r="J528" t="str">
        <f t="shared" si="17"/>
        <v>BTCUSD</v>
      </c>
    </row>
    <row r="529" spans="1:10" hidden="1" x14ac:dyDescent="0.3">
      <c r="A529" s="1">
        <v>44286</v>
      </c>
      <c r="B529" t="s">
        <v>11</v>
      </c>
      <c r="C529" t="s">
        <v>9</v>
      </c>
      <c r="D529">
        <v>58621.67</v>
      </c>
      <c r="E529">
        <v>59800</v>
      </c>
      <c r="F529">
        <v>56880</v>
      </c>
      <c r="G529">
        <v>59143.58</v>
      </c>
      <c r="H529">
        <v>1679.55</v>
      </c>
      <c r="I529" t="str">
        <f t="shared" si="16"/>
        <v>Mar</v>
      </c>
      <c r="J529" t="str">
        <f t="shared" si="17"/>
        <v>BTCUSD</v>
      </c>
    </row>
    <row r="530" spans="1:10" hidden="1" x14ac:dyDescent="0.3">
      <c r="A530" s="1">
        <v>44285</v>
      </c>
      <c r="B530" t="s">
        <v>11</v>
      </c>
      <c r="C530" t="s">
        <v>9</v>
      </c>
      <c r="D530">
        <v>57155.81</v>
      </c>
      <c r="E530">
        <v>59385</v>
      </c>
      <c r="F530">
        <v>57024.4</v>
      </c>
      <c r="G530">
        <v>58621.67</v>
      </c>
      <c r="H530">
        <v>933.97</v>
      </c>
      <c r="I530" t="str">
        <f t="shared" si="16"/>
        <v>Mar</v>
      </c>
      <c r="J530" t="str">
        <f t="shared" si="17"/>
        <v>BTCUSD</v>
      </c>
    </row>
    <row r="531" spans="1:10" hidden="1" x14ac:dyDescent="0.3">
      <c r="A531" s="1">
        <v>44284</v>
      </c>
      <c r="B531" t="s">
        <v>11</v>
      </c>
      <c r="C531" t="s">
        <v>9</v>
      </c>
      <c r="D531">
        <v>55351</v>
      </c>
      <c r="E531">
        <v>58430.77</v>
      </c>
      <c r="F531">
        <v>54889.09</v>
      </c>
      <c r="G531">
        <v>57155.81</v>
      </c>
      <c r="H531">
        <v>2020.26</v>
      </c>
      <c r="I531" t="str">
        <f t="shared" si="16"/>
        <v>Mar</v>
      </c>
      <c r="J531" t="str">
        <f t="shared" si="17"/>
        <v>BTCUSD</v>
      </c>
    </row>
    <row r="532" spans="1:10" hidden="1" x14ac:dyDescent="0.3">
      <c r="A532" s="1">
        <v>44283</v>
      </c>
      <c r="B532" t="s">
        <v>11</v>
      </c>
      <c r="C532" t="s">
        <v>9</v>
      </c>
      <c r="D532">
        <v>56094.03</v>
      </c>
      <c r="E532">
        <v>56576.23</v>
      </c>
      <c r="F532">
        <v>54711.01</v>
      </c>
      <c r="G532">
        <v>55351</v>
      </c>
      <c r="H532">
        <v>453.44</v>
      </c>
      <c r="I532" t="str">
        <f t="shared" si="16"/>
        <v>Mar</v>
      </c>
      <c r="J532" t="str">
        <f t="shared" si="17"/>
        <v>BTCUSD</v>
      </c>
    </row>
    <row r="533" spans="1:10" hidden="1" x14ac:dyDescent="0.3">
      <c r="A533" s="1">
        <v>44282</v>
      </c>
      <c r="B533" t="s">
        <v>11</v>
      </c>
      <c r="C533" t="s">
        <v>9</v>
      </c>
      <c r="D533">
        <v>54804.02</v>
      </c>
      <c r="E533">
        <v>56624.33</v>
      </c>
      <c r="F533">
        <v>53990</v>
      </c>
      <c r="G533">
        <v>56094.03</v>
      </c>
      <c r="H533">
        <v>730.37</v>
      </c>
      <c r="I533" t="str">
        <f t="shared" si="16"/>
        <v>Mar</v>
      </c>
      <c r="J533" t="str">
        <f t="shared" si="17"/>
        <v>BTCUSD</v>
      </c>
    </row>
    <row r="534" spans="1:10" hidden="1" x14ac:dyDescent="0.3">
      <c r="A534" s="1">
        <v>44281</v>
      </c>
      <c r="B534" t="s">
        <v>11</v>
      </c>
      <c r="C534" t="s">
        <v>9</v>
      </c>
      <c r="D534">
        <v>52450.8</v>
      </c>
      <c r="E534">
        <v>55627.21</v>
      </c>
      <c r="F534">
        <v>52205.36</v>
      </c>
      <c r="G534">
        <v>54804.02</v>
      </c>
      <c r="H534">
        <v>1655.31</v>
      </c>
      <c r="I534" t="str">
        <f t="shared" si="16"/>
        <v>Mar</v>
      </c>
      <c r="J534" t="str">
        <f t="shared" si="17"/>
        <v>BTCUSD</v>
      </c>
    </row>
    <row r="535" spans="1:10" hidden="1" x14ac:dyDescent="0.3">
      <c r="A535" s="1">
        <v>44280</v>
      </c>
      <c r="B535" t="s">
        <v>11</v>
      </c>
      <c r="C535" t="s">
        <v>9</v>
      </c>
      <c r="D535">
        <v>52152.85</v>
      </c>
      <c r="E535">
        <v>53234.52</v>
      </c>
      <c r="F535">
        <v>50387.01</v>
      </c>
      <c r="G535">
        <v>52450.8</v>
      </c>
      <c r="H535">
        <v>1736.99</v>
      </c>
      <c r="I535" t="str">
        <f t="shared" si="16"/>
        <v>Mar</v>
      </c>
      <c r="J535" t="str">
        <f t="shared" si="17"/>
        <v>BTCUSD</v>
      </c>
    </row>
    <row r="536" spans="1:10" hidden="1" x14ac:dyDescent="0.3">
      <c r="A536" s="1">
        <v>44279</v>
      </c>
      <c r="B536" t="s">
        <v>11</v>
      </c>
      <c r="C536" t="s">
        <v>9</v>
      </c>
      <c r="D536">
        <v>54375.12</v>
      </c>
      <c r="E536">
        <v>57245</v>
      </c>
      <c r="F536">
        <v>51533.89</v>
      </c>
      <c r="G536">
        <v>52152.85</v>
      </c>
      <c r="H536">
        <v>2556.02</v>
      </c>
      <c r="I536" t="str">
        <f t="shared" si="16"/>
        <v>Mar</v>
      </c>
      <c r="J536" t="str">
        <f t="shared" si="17"/>
        <v>BTCUSD</v>
      </c>
    </row>
    <row r="537" spans="1:10" hidden="1" x14ac:dyDescent="0.3">
      <c r="A537" s="1">
        <v>44278</v>
      </c>
      <c r="B537" t="s">
        <v>11</v>
      </c>
      <c r="C537" t="s">
        <v>9</v>
      </c>
      <c r="D537">
        <v>54710.81</v>
      </c>
      <c r="E537">
        <v>55903.62</v>
      </c>
      <c r="F537">
        <v>53000</v>
      </c>
      <c r="G537">
        <v>54375.12</v>
      </c>
      <c r="H537">
        <v>1916.14</v>
      </c>
      <c r="I537" t="str">
        <f t="shared" si="16"/>
        <v>Mar</v>
      </c>
      <c r="J537" t="str">
        <f t="shared" si="17"/>
        <v>BTCUSD</v>
      </c>
    </row>
    <row r="538" spans="1:10" hidden="1" x14ac:dyDescent="0.3">
      <c r="A538" s="1">
        <v>44277</v>
      </c>
      <c r="B538" t="s">
        <v>11</v>
      </c>
      <c r="C538" t="s">
        <v>9</v>
      </c>
      <c r="D538">
        <v>57551.47</v>
      </c>
      <c r="E538">
        <v>58445.36</v>
      </c>
      <c r="F538">
        <v>53733.67</v>
      </c>
      <c r="G538">
        <v>54710.81</v>
      </c>
      <c r="H538">
        <v>1771.2</v>
      </c>
      <c r="I538" t="str">
        <f t="shared" si="16"/>
        <v>Mar</v>
      </c>
      <c r="J538" t="str">
        <f t="shared" si="17"/>
        <v>BTCUSD</v>
      </c>
    </row>
    <row r="539" spans="1:10" hidden="1" x14ac:dyDescent="0.3">
      <c r="A539" s="1">
        <v>44276</v>
      </c>
      <c r="B539" t="s">
        <v>11</v>
      </c>
      <c r="C539" t="s">
        <v>9</v>
      </c>
      <c r="D539">
        <v>57833.32</v>
      </c>
      <c r="E539">
        <v>58164.58</v>
      </c>
      <c r="F539">
        <v>55500</v>
      </c>
      <c r="G539">
        <v>57551.47</v>
      </c>
      <c r="H539">
        <v>781.35</v>
      </c>
      <c r="I539" t="str">
        <f t="shared" si="16"/>
        <v>Mar</v>
      </c>
      <c r="J539" t="str">
        <f t="shared" si="17"/>
        <v>BTCUSD</v>
      </c>
    </row>
    <row r="540" spans="1:10" hidden="1" x14ac:dyDescent="0.3">
      <c r="A540" s="1">
        <v>44275</v>
      </c>
      <c r="B540" t="s">
        <v>11</v>
      </c>
      <c r="C540" t="s">
        <v>9</v>
      </c>
      <c r="D540">
        <v>58428.9</v>
      </c>
      <c r="E540">
        <v>59880</v>
      </c>
      <c r="F540">
        <v>57469.36</v>
      </c>
      <c r="G540">
        <v>57833.32</v>
      </c>
      <c r="H540">
        <v>774.22</v>
      </c>
      <c r="I540" t="str">
        <f t="shared" si="16"/>
        <v>Mar</v>
      </c>
      <c r="J540" t="str">
        <f t="shared" si="17"/>
        <v>BTCUSD</v>
      </c>
    </row>
    <row r="541" spans="1:10" hidden="1" x14ac:dyDescent="0.3">
      <c r="A541" s="1">
        <v>44274</v>
      </c>
      <c r="B541" t="s">
        <v>11</v>
      </c>
      <c r="C541" t="s">
        <v>9</v>
      </c>
      <c r="D541">
        <v>57793.71</v>
      </c>
      <c r="E541">
        <v>59448.39</v>
      </c>
      <c r="F541">
        <v>57507.61</v>
      </c>
      <c r="G541">
        <v>58428.9</v>
      </c>
      <c r="H541">
        <v>1014.17</v>
      </c>
      <c r="I541" t="str">
        <f t="shared" si="16"/>
        <v>Mar</v>
      </c>
      <c r="J541" t="str">
        <f t="shared" si="17"/>
        <v>BTCUSD</v>
      </c>
    </row>
    <row r="542" spans="1:10" hidden="1" x14ac:dyDescent="0.3">
      <c r="A542" s="1">
        <v>44273</v>
      </c>
      <c r="B542" t="s">
        <v>11</v>
      </c>
      <c r="C542" t="s">
        <v>9</v>
      </c>
      <c r="D542">
        <v>58687.360000000001</v>
      </c>
      <c r="E542">
        <v>60099.99</v>
      </c>
      <c r="F542">
        <v>56239.55</v>
      </c>
      <c r="G542">
        <v>57793.71</v>
      </c>
      <c r="H542">
        <v>1594.38</v>
      </c>
      <c r="I542" t="str">
        <f t="shared" si="16"/>
        <v>Mar</v>
      </c>
      <c r="J542" t="str">
        <f t="shared" si="17"/>
        <v>BTCUSD</v>
      </c>
    </row>
    <row r="543" spans="1:10" hidden="1" x14ac:dyDescent="0.3">
      <c r="A543" s="1">
        <v>44272</v>
      </c>
      <c r="B543" t="s">
        <v>11</v>
      </c>
      <c r="C543" t="s">
        <v>9</v>
      </c>
      <c r="D543">
        <v>55548.73</v>
      </c>
      <c r="E543">
        <v>59567.59</v>
      </c>
      <c r="F543">
        <v>54144.95</v>
      </c>
      <c r="G543">
        <v>58687.360000000001</v>
      </c>
      <c r="H543">
        <v>1950.94</v>
      </c>
      <c r="I543" t="str">
        <f t="shared" si="16"/>
        <v>Mar</v>
      </c>
      <c r="J543" t="str">
        <f t="shared" si="17"/>
        <v>BTCUSD</v>
      </c>
    </row>
    <row r="544" spans="1:10" hidden="1" x14ac:dyDescent="0.3">
      <c r="A544" s="1">
        <v>44271</v>
      </c>
      <c r="B544" t="s">
        <v>11</v>
      </c>
      <c r="C544" t="s">
        <v>9</v>
      </c>
      <c r="D544">
        <v>54255.040000000001</v>
      </c>
      <c r="E544">
        <v>57185.78</v>
      </c>
      <c r="F544">
        <v>53589</v>
      </c>
      <c r="G544">
        <v>55548.73</v>
      </c>
      <c r="H544">
        <v>1350.97</v>
      </c>
      <c r="I544" t="str">
        <f t="shared" si="16"/>
        <v>Mar</v>
      </c>
      <c r="J544" t="str">
        <f t="shared" si="17"/>
        <v>BTCUSD</v>
      </c>
    </row>
    <row r="545" spans="1:10" hidden="1" x14ac:dyDescent="0.3">
      <c r="A545" s="1">
        <v>44270</v>
      </c>
      <c r="B545" t="s">
        <v>11</v>
      </c>
      <c r="C545" t="s">
        <v>9</v>
      </c>
      <c r="D545">
        <v>60362.18</v>
      </c>
      <c r="E545">
        <v>60561.59</v>
      </c>
      <c r="F545">
        <v>53238.69</v>
      </c>
      <c r="G545">
        <v>54255.040000000001</v>
      </c>
      <c r="H545">
        <v>3453.09</v>
      </c>
      <c r="I545" t="str">
        <f t="shared" si="16"/>
        <v>Mar</v>
      </c>
      <c r="J545" t="str">
        <f t="shared" si="17"/>
        <v>BTCUSD</v>
      </c>
    </row>
    <row r="546" spans="1:10" hidden="1" x14ac:dyDescent="0.3">
      <c r="A546" s="1">
        <v>44269</v>
      </c>
      <c r="B546" t="s">
        <v>11</v>
      </c>
      <c r="C546" t="s">
        <v>9</v>
      </c>
      <c r="D546">
        <v>61354.75</v>
      </c>
      <c r="E546">
        <v>61500.82</v>
      </c>
      <c r="F546">
        <v>58750</v>
      </c>
      <c r="G546">
        <v>60362.18</v>
      </c>
      <c r="H546">
        <v>1286.1500000000001</v>
      </c>
      <c r="I546" t="str">
        <f t="shared" si="16"/>
        <v>Mar</v>
      </c>
      <c r="J546" t="str">
        <f t="shared" si="17"/>
        <v>BTCUSD</v>
      </c>
    </row>
    <row r="547" spans="1:10" hidden="1" x14ac:dyDescent="0.3">
      <c r="A547" s="1">
        <v>44268</v>
      </c>
      <c r="B547" t="s">
        <v>11</v>
      </c>
      <c r="C547" t="s">
        <v>9</v>
      </c>
      <c r="D547">
        <v>56705.84</v>
      </c>
      <c r="E547">
        <v>61785</v>
      </c>
      <c r="F547">
        <v>56284.51</v>
      </c>
      <c r="G547">
        <v>61354.75</v>
      </c>
      <c r="H547">
        <v>2135.31</v>
      </c>
      <c r="I547" t="str">
        <f t="shared" si="16"/>
        <v>Mar</v>
      </c>
      <c r="J547" t="str">
        <f t="shared" si="17"/>
        <v>BTCUSD</v>
      </c>
    </row>
    <row r="548" spans="1:10" hidden="1" x14ac:dyDescent="0.3">
      <c r="A548" s="1">
        <v>44267</v>
      </c>
      <c r="B548" t="s">
        <v>11</v>
      </c>
      <c r="C548" t="s">
        <v>9</v>
      </c>
      <c r="D548">
        <v>57111.63</v>
      </c>
      <c r="E548">
        <v>57959.22</v>
      </c>
      <c r="F548">
        <v>55050</v>
      </c>
      <c r="G548">
        <v>56705.84</v>
      </c>
      <c r="H548">
        <v>1595.58</v>
      </c>
      <c r="I548" t="str">
        <f t="shared" si="16"/>
        <v>Mar</v>
      </c>
      <c r="J548" t="str">
        <f t="shared" si="17"/>
        <v>BTCUSD</v>
      </c>
    </row>
    <row r="549" spans="1:10" hidden="1" x14ac:dyDescent="0.3">
      <c r="A549" s="1">
        <v>44266</v>
      </c>
      <c r="B549" t="s">
        <v>11</v>
      </c>
      <c r="C549" t="s">
        <v>9</v>
      </c>
      <c r="D549">
        <v>55971.68</v>
      </c>
      <c r="E549">
        <v>58120</v>
      </c>
      <c r="F549">
        <v>54281.74</v>
      </c>
      <c r="G549">
        <v>57111.63</v>
      </c>
      <c r="H549">
        <v>1776.09</v>
      </c>
      <c r="I549" t="str">
        <f t="shared" si="16"/>
        <v>Mar</v>
      </c>
      <c r="J549" t="str">
        <f t="shared" si="17"/>
        <v>BTCUSD</v>
      </c>
    </row>
    <row r="550" spans="1:10" hidden="1" x14ac:dyDescent="0.3">
      <c r="A550" s="1">
        <v>44265</v>
      </c>
      <c r="B550" t="s">
        <v>11</v>
      </c>
      <c r="C550" t="s">
        <v>9</v>
      </c>
      <c r="D550">
        <v>53466.19</v>
      </c>
      <c r="E550">
        <v>57400</v>
      </c>
      <c r="F550">
        <v>53049</v>
      </c>
      <c r="G550">
        <v>55971.68</v>
      </c>
      <c r="H550">
        <v>2062.29</v>
      </c>
      <c r="I550" t="str">
        <f t="shared" si="16"/>
        <v>Mar</v>
      </c>
      <c r="J550" t="str">
        <f t="shared" si="17"/>
        <v>BTCUSD</v>
      </c>
    </row>
    <row r="551" spans="1:10" hidden="1" x14ac:dyDescent="0.3">
      <c r="A551" s="1">
        <v>44264</v>
      </c>
      <c r="B551" t="s">
        <v>11</v>
      </c>
      <c r="C551" t="s">
        <v>9</v>
      </c>
      <c r="D551">
        <v>53931.34</v>
      </c>
      <c r="E551">
        <v>55847.68</v>
      </c>
      <c r="F551">
        <v>53140.76</v>
      </c>
      <c r="G551">
        <v>53466.19</v>
      </c>
      <c r="H551">
        <v>1933.15</v>
      </c>
      <c r="I551" t="str">
        <f t="shared" si="16"/>
        <v>Mar</v>
      </c>
      <c r="J551" t="str">
        <f t="shared" si="17"/>
        <v>BTCUSD</v>
      </c>
    </row>
    <row r="552" spans="1:10" hidden="1" x14ac:dyDescent="0.3">
      <c r="A552" s="1">
        <v>44263</v>
      </c>
      <c r="B552" t="s">
        <v>11</v>
      </c>
      <c r="C552" t="s">
        <v>9</v>
      </c>
      <c r="D552">
        <v>50591.21</v>
      </c>
      <c r="E552">
        <v>54126</v>
      </c>
      <c r="F552">
        <v>49300.01</v>
      </c>
      <c r="G552">
        <v>53931.34</v>
      </c>
      <c r="H552">
        <v>1880.72</v>
      </c>
      <c r="I552" t="str">
        <f t="shared" si="16"/>
        <v>Mar</v>
      </c>
      <c r="J552" t="str">
        <f t="shared" si="17"/>
        <v>BTCUSD</v>
      </c>
    </row>
    <row r="553" spans="1:10" hidden="1" x14ac:dyDescent="0.3">
      <c r="A553" s="1">
        <v>44262</v>
      </c>
      <c r="B553" t="s">
        <v>11</v>
      </c>
      <c r="C553" t="s">
        <v>9</v>
      </c>
      <c r="D553">
        <v>49610.32</v>
      </c>
      <c r="E553">
        <v>51832.15</v>
      </c>
      <c r="F553">
        <v>49135.73</v>
      </c>
      <c r="G553">
        <v>50591.21</v>
      </c>
      <c r="H553">
        <v>1157.04</v>
      </c>
      <c r="I553" t="str">
        <f t="shared" si="16"/>
        <v>Mar</v>
      </c>
      <c r="J553" t="str">
        <f t="shared" si="17"/>
        <v>BTCUSD</v>
      </c>
    </row>
    <row r="554" spans="1:10" hidden="1" x14ac:dyDescent="0.3">
      <c r="A554" s="1">
        <v>44261</v>
      </c>
      <c r="B554" t="s">
        <v>11</v>
      </c>
      <c r="C554" t="s">
        <v>9</v>
      </c>
      <c r="D554">
        <v>48648.76</v>
      </c>
      <c r="E554">
        <v>49915.73</v>
      </c>
      <c r="F554">
        <v>47096.87</v>
      </c>
      <c r="G554">
        <v>49610.32</v>
      </c>
      <c r="H554">
        <v>1027.29</v>
      </c>
      <c r="I554" t="str">
        <f t="shared" si="16"/>
        <v>Mar</v>
      </c>
      <c r="J554" t="str">
        <f t="shared" si="17"/>
        <v>BTCUSD</v>
      </c>
    </row>
    <row r="555" spans="1:10" hidden="1" x14ac:dyDescent="0.3">
      <c r="A555" s="1">
        <v>44260</v>
      </c>
      <c r="B555" t="s">
        <v>11</v>
      </c>
      <c r="C555" t="s">
        <v>9</v>
      </c>
      <c r="D555">
        <v>47339.92</v>
      </c>
      <c r="E555">
        <v>49455.61</v>
      </c>
      <c r="F555">
        <v>46443.16</v>
      </c>
      <c r="G555">
        <v>48648.76</v>
      </c>
      <c r="H555">
        <v>1774.93</v>
      </c>
      <c r="I555" t="str">
        <f t="shared" si="16"/>
        <v>Mar</v>
      </c>
      <c r="J555" t="str">
        <f t="shared" si="17"/>
        <v>BTCUSD</v>
      </c>
    </row>
    <row r="556" spans="1:10" hidden="1" x14ac:dyDescent="0.3">
      <c r="A556" s="1">
        <v>44259</v>
      </c>
      <c r="B556" t="s">
        <v>11</v>
      </c>
      <c r="C556" t="s">
        <v>9</v>
      </c>
      <c r="D556">
        <v>49597.23</v>
      </c>
      <c r="E556">
        <v>50754.39</v>
      </c>
      <c r="F556">
        <v>46297.47</v>
      </c>
      <c r="G556">
        <v>47339.92</v>
      </c>
      <c r="H556">
        <v>2507.35</v>
      </c>
      <c r="I556" t="str">
        <f t="shared" si="16"/>
        <v>Mar</v>
      </c>
      <c r="J556" t="str">
        <f t="shared" si="17"/>
        <v>BTCUSD</v>
      </c>
    </row>
    <row r="557" spans="1:10" hidden="1" x14ac:dyDescent="0.3">
      <c r="A557" s="1">
        <v>44258</v>
      </c>
      <c r="B557" t="s">
        <v>11</v>
      </c>
      <c r="C557" t="s">
        <v>9</v>
      </c>
      <c r="D557">
        <v>48749.78</v>
      </c>
      <c r="E557">
        <v>52737.2</v>
      </c>
      <c r="F557">
        <v>48697.279999999999</v>
      </c>
      <c r="G557">
        <v>49597.23</v>
      </c>
      <c r="H557">
        <v>2756.27</v>
      </c>
      <c r="I557" t="str">
        <f t="shared" si="16"/>
        <v>Mar</v>
      </c>
      <c r="J557" t="str">
        <f t="shared" si="17"/>
        <v>BTCUSD</v>
      </c>
    </row>
    <row r="558" spans="1:10" hidden="1" x14ac:dyDescent="0.3">
      <c r="A558" s="1">
        <v>44257</v>
      </c>
      <c r="B558" t="s">
        <v>11</v>
      </c>
      <c r="C558" t="s">
        <v>9</v>
      </c>
      <c r="D558">
        <v>49023.76</v>
      </c>
      <c r="E558">
        <v>49757.22</v>
      </c>
      <c r="F558">
        <v>47076.52</v>
      </c>
      <c r="G558">
        <v>48749.78</v>
      </c>
      <c r="H558">
        <v>1887.71</v>
      </c>
      <c r="I558" t="str">
        <f t="shared" si="16"/>
        <v>Mar</v>
      </c>
      <c r="J558" t="str">
        <f t="shared" si="17"/>
        <v>BTCUSD</v>
      </c>
    </row>
    <row r="559" spans="1:10" hidden="1" x14ac:dyDescent="0.3">
      <c r="A559" s="1">
        <v>44256</v>
      </c>
      <c r="B559" t="s">
        <v>11</v>
      </c>
      <c r="C559" t="s">
        <v>9</v>
      </c>
      <c r="D559">
        <v>46408.05</v>
      </c>
      <c r="F559">
        <v>45700.01</v>
      </c>
      <c r="G559">
        <v>49023.76</v>
      </c>
      <c r="H559">
        <v>3079.22</v>
      </c>
      <c r="I559" t="str">
        <f t="shared" si="16"/>
        <v>Mar</v>
      </c>
      <c r="J559" t="str">
        <f t="shared" si="17"/>
        <v>BTCUSD</v>
      </c>
    </row>
    <row r="560" spans="1:10" hidden="1" x14ac:dyDescent="0.3">
      <c r="A560" s="1">
        <v>44255</v>
      </c>
      <c r="B560" t="s">
        <v>10</v>
      </c>
      <c r="C560" t="s">
        <v>9</v>
      </c>
      <c r="D560">
        <v>44673.36</v>
      </c>
      <c r="E560">
        <v>46920</v>
      </c>
      <c r="F560">
        <v>43033.66</v>
      </c>
      <c r="G560">
        <v>46408.05</v>
      </c>
      <c r="H560">
        <v>2188.54</v>
      </c>
      <c r="I560" t="str">
        <f t="shared" si="16"/>
        <v>Feb</v>
      </c>
      <c r="J560" t="str">
        <f t="shared" si="17"/>
        <v>BTCUSD</v>
      </c>
    </row>
    <row r="561" spans="1:10" hidden="1" x14ac:dyDescent="0.3">
      <c r="A561" s="1">
        <v>44254</v>
      </c>
      <c r="B561" t="s">
        <v>10</v>
      </c>
      <c r="C561" t="s">
        <v>9</v>
      </c>
      <c r="D561">
        <v>47440</v>
      </c>
      <c r="E561">
        <v>48380.14</v>
      </c>
      <c r="F561">
        <v>44510</v>
      </c>
      <c r="G561">
        <v>44673.36</v>
      </c>
      <c r="H561">
        <v>1191.06</v>
      </c>
      <c r="I561" t="str">
        <f t="shared" si="16"/>
        <v>Feb</v>
      </c>
      <c r="J561" t="str">
        <f t="shared" si="17"/>
        <v>BTCUSD</v>
      </c>
    </row>
    <row r="562" spans="1:10" hidden="1" x14ac:dyDescent="0.3">
      <c r="A562" s="1">
        <v>44253</v>
      </c>
      <c r="B562" t="s">
        <v>10</v>
      </c>
      <c r="C562" t="s">
        <v>9</v>
      </c>
      <c r="D562">
        <v>47360.43</v>
      </c>
      <c r="E562">
        <v>48472.08</v>
      </c>
      <c r="F562">
        <v>44121.24</v>
      </c>
      <c r="G562">
        <v>47440</v>
      </c>
      <c r="H562">
        <v>3297.57</v>
      </c>
      <c r="I562" t="str">
        <f t="shared" si="16"/>
        <v>Feb</v>
      </c>
      <c r="J562" t="str">
        <f t="shared" si="17"/>
        <v>BTCUSD</v>
      </c>
    </row>
    <row r="563" spans="1:10" hidden="1" x14ac:dyDescent="0.3">
      <c r="A563" s="1">
        <v>44252</v>
      </c>
      <c r="B563" t="s">
        <v>10</v>
      </c>
      <c r="C563" t="s">
        <v>9</v>
      </c>
      <c r="D563">
        <v>50266.89</v>
      </c>
      <c r="E563">
        <v>52074</v>
      </c>
      <c r="F563">
        <v>46000</v>
      </c>
      <c r="G563">
        <v>47360.43</v>
      </c>
      <c r="H563">
        <v>3900.71</v>
      </c>
      <c r="I563" t="str">
        <f t="shared" si="16"/>
        <v>Feb</v>
      </c>
      <c r="J563" t="str">
        <f t="shared" si="17"/>
        <v>BTCUSD</v>
      </c>
    </row>
    <row r="564" spans="1:10" hidden="1" x14ac:dyDescent="0.3">
      <c r="A564" s="1">
        <v>44251</v>
      </c>
      <c r="B564" t="s">
        <v>10</v>
      </c>
      <c r="C564" t="s">
        <v>9</v>
      </c>
      <c r="D564">
        <v>50965.74</v>
      </c>
      <c r="E564">
        <v>51442.01</v>
      </c>
      <c r="F564">
        <v>48113.83</v>
      </c>
      <c r="G564">
        <v>50266.89</v>
      </c>
      <c r="H564">
        <v>2798.46</v>
      </c>
      <c r="I564" t="str">
        <f t="shared" si="16"/>
        <v>Feb</v>
      </c>
      <c r="J564" t="str">
        <f t="shared" si="17"/>
        <v>BTCUSD</v>
      </c>
    </row>
    <row r="565" spans="1:10" hidden="1" x14ac:dyDescent="0.3">
      <c r="A565" s="1">
        <v>44250</v>
      </c>
      <c r="B565" t="s">
        <v>10</v>
      </c>
      <c r="C565" t="s">
        <v>9</v>
      </c>
      <c r="D565">
        <v>51847.25</v>
      </c>
      <c r="E565">
        <v>52294.87</v>
      </c>
      <c r="F565">
        <v>44248</v>
      </c>
      <c r="G565">
        <v>50965.74</v>
      </c>
      <c r="H565">
        <v>6641.9</v>
      </c>
      <c r="I565" t="str">
        <f t="shared" si="16"/>
        <v>Feb</v>
      </c>
      <c r="J565" t="str">
        <f t="shared" si="17"/>
        <v>BTCUSD</v>
      </c>
    </row>
    <row r="566" spans="1:10" hidden="1" x14ac:dyDescent="0.3">
      <c r="A566" s="1">
        <v>44249</v>
      </c>
      <c r="B566" t="s">
        <v>10</v>
      </c>
      <c r="C566" t="s">
        <v>9</v>
      </c>
      <c r="D566">
        <v>55914.43</v>
      </c>
      <c r="E566">
        <v>56651.47</v>
      </c>
      <c r="F566">
        <v>47000</v>
      </c>
      <c r="G566">
        <v>51847.25</v>
      </c>
      <c r="H566">
        <v>5371.31</v>
      </c>
      <c r="I566" t="str">
        <f t="shared" si="16"/>
        <v>Feb</v>
      </c>
      <c r="J566" t="str">
        <f t="shared" si="17"/>
        <v>BTCUSD</v>
      </c>
    </row>
    <row r="567" spans="1:10" hidden="1" x14ac:dyDescent="0.3">
      <c r="A567" s="1">
        <v>44248</v>
      </c>
      <c r="B567" t="s">
        <v>10</v>
      </c>
      <c r="C567" t="s">
        <v>9</v>
      </c>
      <c r="D567">
        <v>56541.2</v>
      </c>
      <c r="E567">
        <v>58481.599999999999</v>
      </c>
      <c r="F567">
        <v>55800</v>
      </c>
      <c r="G567">
        <v>55914.43</v>
      </c>
      <c r="H567">
        <v>1454.9</v>
      </c>
      <c r="I567" t="str">
        <f t="shared" si="16"/>
        <v>Feb</v>
      </c>
      <c r="J567" t="str">
        <f t="shared" si="17"/>
        <v>BTCUSD</v>
      </c>
    </row>
    <row r="568" spans="1:10" hidden="1" x14ac:dyDescent="0.3">
      <c r="A568" s="1">
        <v>44247</v>
      </c>
      <c r="B568" t="s">
        <v>10</v>
      </c>
      <c r="C568" t="s">
        <v>9</v>
      </c>
      <c r="D568">
        <v>55761.1</v>
      </c>
      <c r="E568">
        <v>57500</v>
      </c>
      <c r="F568">
        <v>54000</v>
      </c>
      <c r="G568">
        <v>56541.2</v>
      </c>
      <c r="H568">
        <v>1349.19</v>
      </c>
      <c r="I568" t="str">
        <f t="shared" si="16"/>
        <v>Feb</v>
      </c>
      <c r="J568" t="str">
        <f t="shared" si="17"/>
        <v>BTCUSD</v>
      </c>
    </row>
    <row r="569" spans="1:10" hidden="1" x14ac:dyDescent="0.3">
      <c r="A569" s="1">
        <v>44246</v>
      </c>
      <c r="B569" t="s">
        <v>10</v>
      </c>
      <c r="C569" t="s">
        <v>9</v>
      </c>
      <c r="D569">
        <v>51241.23</v>
      </c>
      <c r="E569">
        <v>56605.599999999999</v>
      </c>
      <c r="F569">
        <v>50906</v>
      </c>
      <c r="G569">
        <v>55761.1</v>
      </c>
      <c r="H569">
        <v>3143.93</v>
      </c>
      <c r="I569" t="str">
        <f t="shared" si="16"/>
        <v>Feb</v>
      </c>
      <c r="J569" t="str">
        <f t="shared" si="17"/>
        <v>BTCUSD</v>
      </c>
    </row>
    <row r="570" spans="1:10" hidden="1" x14ac:dyDescent="0.3">
      <c r="A570" s="1">
        <v>44245</v>
      </c>
      <c r="B570" t="s">
        <v>10</v>
      </c>
      <c r="C570" t="s">
        <v>9</v>
      </c>
      <c r="D570">
        <v>52068.01</v>
      </c>
      <c r="E570">
        <v>52344</v>
      </c>
      <c r="F570">
        <v>50500</v>
      </c>
      <c r="G570">
        <v>51241.23</v>
      </c>
      <c r="H570">
        <v>2002.6</v>
      </c>
      <c r="I570" t="str">
        <f t="shared" si="16"/>
        <v>Feb</v>
      </c>
      <c r="J570" t="str">
        <f t="shared" si="17"/>
        <v>BTCUSD</v>
      </c>
    </row>
    <row r="571" spans="1:10" hidden="1" x14ac:dyDescent="0.3">
      <c r="A571" s="1">
        <v>44244</v>
      </c>
      <c r="B571" t="s">
        <v>10</v>
      </c>
      <c r="C571" t="s">
        <v>9</v>
      </c>
      <c r="D571">
        <v>49649.93</v>
      </c>
      <c r="E571">
        <v>52668.45</v>
      </c>
      <c r="F571">
        <v>49164.23</v>
      </c>
      <c r="G571">
        <v>52068.01</v>
      </c>
      <c r="H571">
        <v>2858.2</v>
      </c>
      <c r="I571" t="str">
        <f t="shared" si="16"/>
        <v>Feb</v>
      </c>
      <c r="J571" t="str">
        <f t="shared" si="17"/>
        <v>BTCUSD</v>
      </c>
    </row>
    <row r="572" spans="1:10" hidden="1" x14ac:dyDescent="0.3">
      <c r="A572" s="1">
        <v>44243</v>
      </c>
      <c r="B572" t="s">
        <v>10</v>
      </c>
      <c r="C572" t="s">
        <v>9</v>
      </c>
      <c r="D572">
        <v>49587.199999999997</v>
      </c>
      <c r="E572">
        <v>50602.34</v>
      </c>
      <c r="F572">
        <v>47818.86</v>
      </c>
      <c r="G572">
        <v>49649.93</v>
      </c>
      <c r="H572">
        <v>2776.27</v>
      </c>
      <c r="I572" t="str">
        <f t="shared" si="16"/>
        <v>Feb</v>
      </c>
      <c r="J572" t="str">
        <f t="shared" si="17"/>
        <v>BTCUSD</v>
      </c>
    </row>
    <row r="573" spans="1:10" hidden="1" x14ac:dyDescent="0.3">
      <c r="A573" s="1">
        <v>44242</v>
      </c>
      <c r="B573" t="s">
        <v>10</v>
      </c>
      <c r="C573" t="s">
        <v>9</v>
      </c>
      <c r="D573">
        <v>47185.29</v>
      </c>
      <c r="E573">
        <v>49600</v>
      </c>
      <c r="F573">
        <v>46334.68</v>
      </c>
      <c r="G573">
        <v>49587.199999999997</v>
      </c>
      <c r="H573">
        <v>1736.03</v>
      </c>
      <c r="I573" t="str">
        <f t="shared" si="16"/>
        <v>Feb</v>
      </c>
      <c r="J573" t="str">
        <f t="shared" si="17"/>
        <v>BTCUSD</v>
      </c>
    </row>
    <row r="574" spans="1:10" hidden="1" x14ac:dyDescent="0.3">
      <c r="A574" s="1">
        <v>44241</v>
      </c>
      <c r="B574" t="s">
        <v>10</v>
      </c>
      <c r="C574" t="s">
        <v>9</v>
      </c>
      <c r="D574">
        <v>47381.8</v>
      </c>
      <c r="E574">
        <v>49700</v>
      </c>
      <c r="F574">
        <v>45830.01</v>
      </c>
      <c r="G574">
        <v>47185.29</v>
      </c>
      <c r="H574">
        <v>2174.9</v>
      </c>
      <c r="I574" t="str">
        <f t="shared" si="16"/>
        <v>Feb</v>
      </c>
      <c r="J574" t="str">
        <f t="shared" si="17"/>
        <v>BTCUSD</v>
      </c>
    </row>
    <row r="575" spans="1:10" hidden="1" x14ac:dyDescent="0.3">
      <c r="A575" s="1">
        <v>44240</v>
      </c>
      <c r="B575" t="s">
        <v>10</v>
      </c>
      <c r="C575" t="s">
        <v>9</v>
      </c>
      <c r="D575">
        <v>47938.87</v>
      </c>
      <c r="E575">
        <v>48027.3</v>
      </c>
      <c r="F575">
        <v>46290.25</v>
      </c>
      <c r="G575">
        <v>47381.8</v>
      </c>
      <c r="H575">
        <v>1252.44</v>
      </c>
      <c r="I575" t="str">
        <f t="shared" si="16"/>
        <v>Feb</v>
      </c>
      <c r="J575" t="str">
        <f t="shared" si="17"/>
        <v>BTCUSD</v>
      </c>
    </row>
    <row r="576" spans="1:10" hidden="1" x14ac:dyDescent="0.3">
      <c r="A576" s="1">
        <v>44239</v>
      </c>
      <c r="B576" t="s">
        <v>10</v>
      </c>
      <c r="C576" t="s">
        <v>9</v>
      </c>
      <c r="D576">
        <v>47624.29</v>
      </c>
      <c r="E576">
        <v>48246.6</v>
      </c>
      <c r="F576">
        <v>46289.93</v>
      </c>
      <c r="G576">
        <v>47938.87</v>
      </c>
      <c r="H576">
        <v>2413.87</v>
      </c>
      <c r="I576" t="str">
        <f t="shared" si="16"/>
        <v>Feb</v>
      </c>
      <c r="J576" t="str">
        <f t="shared" si="17"/>
        <v>BTCUSD</v>
      </c>
    </row>
    <row r="577" spans="1:10" hidden="1" x14ac:dyDescent="0.3">
      <c r="A577" s="1">
        <v>44238</v>
      </c>
      <c r="B577" t="s">
        <v>10</v>
      </c>
      <c r="C577" t="s">
        <v>9</v>
      </c>
      <c r="D577">
        <v>45513.94</v>
      </c>
      <c r="E577">
        <v>48975</v>
      </c>
      <c r="F577">
        <v>44457.55</v>
      </c>
      <c r="G577">
        <v>47624.29</v>
      </c>
      <c r="H577">
        <v>2589</v>
      </c>
      <c r="I577" t="str">
        <f t="shared" si="16"/>
        <v>Feb</v>
      </c>
      <c r="J577" t="str">
        <f t="shared" si="17"/>
        <v>BTCUSD</v>
      </c>
    </row>
    <row r="578" spans="1:10" hidden="1" x14ac:dyDescent="0.3">
      <c r="A578" s="1">
        <v>44237</v>
      </c>
      <c r="B578" t="s">
        <v>10</v>
      </c>
      <c r="C578" t="s">
        <v>9</v>
      </c>
      <c r="D578">
        <v>46309.88</v>
      </c>
      <c r="E578">
        <v>47367.17</v>
      </c>
      <c r="F578">
        <v>43762.99</v>
      </c>
      <c r="G578">
        <v>45513.94</v>
      </c>
      <c r="H578">
        <v>2479.69</v>
      </c>
      <c r="I578" t="str">
        <f t="shared" ref="I578:I615" si="18">TRIM(B578)</f>
        <v>Feb</v>
      </c>
      <c r="J578" t="str">
        <f t="shared" ref="J578:J615" si="19">TRIM(C578)</f>
        <v>BTCUSD</v>
      </c>
    </row>
    <row r="579" spans="1:10" hidden="1" x14ac:dyDescent="0.3">
      <c r="A579" s="1">
        <v>44236</v>
      </c>
      <c r="B579" t="s">
        <v>10</v>
      </c>
      <c r="C579" t="s">
        <v>9</v>
      </c>
      <c r="D579">
        <v>46653.5</v>
      </c>
      <c r="E579">
        <v>48201.23</v>
      </c>
      <c r="F579">
        <v>45037.8</v>
      </c>
      <c r="G579">
        <v>46309.88</v>
      </c>
      <c r="H579">
        <v>2992.16</v>
      </c>
      <c r="I579" t="str">
        <f t="shared" si="18"/>
        <v>Feb</v>
      </c>
      <c r="J579" t="str">
        <f t="shared" si="19"/>
        <v>BTCUSD</v>
      </c>
    </row>
    <row r="580" spans="1:10" hidden="1" x14ac:dyDescent="0.3">
      <c r="A580" s="1">
        <v>44235</v>
      </c>
      <c r="B580" t="s">
        <v>10</v>
      </c>
      <c r="C580" t="s">
        <v>9</v>
      </c>
      <c r="D580">
        <v>38107.339999999997</v>
      </c>
      <c r="E580">
        <v>47519.31</v>
      </c>
      <c r="F580">
        <v>38060.68</v>
      </c>
      <c r="G580">
        <v>46653.5</v>
      </c>
      <c r="H580">
        <v>5944.37</v>
      </c>
      <c r="I580" t="str">
        <f t="shared" si="18"/>
        <v>Feb</v>
      </c>
      <c r="J580" t="str">
        <f t="shared" si="19"/>
        <v>BTCUSD</v>
      </c>
    </row>
    <row r="581" spans="1:10" hidden="1" x14ac:dyDescent="0.3">
      <c r="A581" s="1">
        <v>44234</v>
      </c>
      <c r="B581" t="s">
        <v>10</v>
      </c>
      <c r="C581" t="s">
        <v>9</v>
      </c>
      <c r="D581">
        <v>38897.949999999997</v>
      </c>
      <c r="E581">
        <v>39748.959999999999</v>
      </c>
      <c r="F581">
        <v>37400</v>
      </c>
      <c r="G581">
        <v>38107.339999999997</v>
      </c>
      <c r="H581">
        <v>1239.8699999999999</v>
      </c>
      <c r="I581" t="str">
        <f t="shared" si="18"/>
        <v>Feb</v>
      </c>
      <c r="J581" t="str">
        <f t="shared" si="19"/>
        <v>BTCUSD</v>
      </c>
    </row>
    <row r="582" spans="1:10" hidden="1" x14ac:dyDescent="0.3">
      <c r="A582" s="1">
        <v>44233</v>
      </c>
      <c r="B582" t="s">
        <v>10</v>
      </c>
      <c r="C582" t="s">
        <v>9</v>
      </c>
      <c r="D582">
        <v>39415.760000000002</v>
      </c>
      <c r="E582">
        <v>41000</v>
      </c>
      <c r="F582">
        <v>38368.69</v>
      </c>
      <c r="G582">
        <v>38897.949999999997</v>
      </c>
      <c r="H582">
        <v>2002.11</v>
      </c>
      <c r="I582" t="str">
        <f t="shared" si="18"/>
        <v>Feb</v>
      </c>
      <c r="J582" t="str">
        <f t="shared" si="19"/>
        <v>BTCUSD</v>
      </c>
    </row>
    <row r="583" spans="1:10" hidden="1" x14ac:dyDescent="0.3">
      <c r="A583" s="1">
        <v>44232</v>
      </c>
      <c r="B583" t="s">
        <v>10</v>
      </c>
      <c r="C583" t="s">
        <v>9</v>
      </c>
      <c r="D583">
        <v>37380.18</v>
      </c>
      <c r="E583">
        <v>39700</v>
      </c>
      <c r="F583">
        <v>37057.78</v>
      </c>
      <c r="G583">
        <v>39415.760000000002</v>
      </c>
      <c r="H583">
        <v>2032.78</v>
      </c>
      <c r="I583" t="str">
        <f t="shared" si="18"/>
        <v>Feb</v>
      </c>
      <c r="J583" t="str">
        <f t="shared" si="19"/>
        <v>BTCUSD</v>
      </c>
    </row>
    <row r="584" spans="1:10" hidden="1" x14ac:dyDescent="0.3">
      <c r="A584" s="1">
        <v>44231</v>
      </c>
      <c r="B584" t="s">
        <v>10</v>
      </c>
      <c r="C584" t="s">
        <v>9</v>
      </c>
      <c r="D584">
        <v>37551.56</v>
      </c>
      <c r="E584">
        <v>38785.99</v>
      </c>
      <c r="F584">
        <v>36211.08</v>
      </c>
      <c r="G584">
        <v>37380.18</v>
      </c>
      <c r="H584">
        <v>2637.09</v>
      </c>
      <c r="I584" t="str">
        <f t="shared" si="18"/>
        <v>Feb</v>
      </c>
      <c r="J584" t="str">
        <f t="shared" si="19"/>
        <v>BTCUSD</v>
      </c>
    </row>
    <row r="585" spans="1:10" hidden="1" x14ac:dyDescent="0.3">
      <c r="A585" s="1">
        <v>44230</v>
      </c>
      <c r="B585" t="s">
        <v>10</v>
      </c>
      <c r="C585" t="s">
        <v>9</v>
      </c>
      <c r="D585">
        <v>36467.279999999999</v>
      </c>
      <c r="E585">
        <v>38375</v>
      </c>
      <c r="F585">
        <v>35583.18</v>
      </c>
      <c r="G585">
        <v>37551.56</v>
      </c>
      <c r="H585">
        <v>2559.71</v>
      </c>
      <c r="I585" t="str">
        <f t="shared" si="18"/>
        <v>Feb</v>
      </c>
      <c r="J585" t="str">
        <f t="shared" si="19"/>
        <v>BTCUSD</v>
      </c>
    </row>
    <row r="586" spans="1:10" hidden="1" x14ac:dyDescent="0.3">
      <c r="A586" s="1">
        <v>44229</v>
      </c>
      <c r="B586" t="s">
        <v>10</v>
      </c>
      <c r="C586" t="s">
        <v>9</v>
      </c>
      <c r="D586">
        <v>33589.89</v>
      </c>
      <c r="E586">
        <v>36545.050000000003</v>
      </c>
      <c r="F586">
        <v>33535.61</v>
      </c>
      <c r="G586">
        <v>36467.279999999999</v>
      </c>
      <c r="H586">
        <v>2328.35</v>
      </c>
      <c r="I586" t="str">
        <f t="shared" si="18"/>
        <v>Feb</v>
      </c>
      <c r="J586" t="str">
        <f t="shared" si="19"/>
        <v>BTCUSD</v>
      </c>
    </row>
    <row r="587" spans="1:10" hidden="1" x14ac:dyDescent="0.3">
      <c r="A587" s="1">
        <v>44228</v>
      </c>
      <c r="B587" t="s">
        <v>10</v>
      </c>
      <c r="C587" t="s">
        <v>9</v>
      </c>
      <c r="D587">
        <v>33608.78</v>
      </c>
      <c r="E587">
        <v>34700</v>
      </c>
      <c r="F587">
        <v>33106.089999999997</v>
      </c>
      <c r="G587">
        <v>33589.89</v>
      </c>
      <c r="H587">
        <v>2134.59</v>
      </c>
      <c r="I587" t="str">
        <f t="shared" si="18"/>
        <v>Feb</v>
      </c>
      <c r="J587" t="str">
        <f t="shared" si="19"/>
        <v>BTCUSD</v>
      </c>
    </row>
    <row r="588" spans="1:10" hidden="1" x14ac:dyDescent="0.3">
      <c r="A588" s="1">
        <v>44227</v>
      </c>
      <c r="B588" t="s">
        <v>8</v>
      </c>
      <c r="C588" t="s">
        <v>9</v>
      </c>
      <c r="D588">
        <v>33949.79</v>
      </c>
      <c r="E588">
        <v>34205</v>
      </c>
      <c r="F588">
        <v>32200</v>
      </c>
      <c r="G588">
        <v>33608.78</v>
      </c>
      <c r="H588">
        <v>1153.46</v>
      </c>
      <c r="I588" t="str">
        <f t="shared" si="18"/>
        <v>Jan</v>
      </c>
      <c r="J588" t="str">
        <f t="shared" si="19"/>
        <v>BTCUSD</v>
      </c>
    </row>
    <row r="589" spans="1:10" hidden="1" x14ac:dyDescent="0.3">
      <c r="A589" s="1">
        <v>44226</v>
      </c>
      <c r="B589" t="s">
        <v>8</v>
      </c>
      <c r="C589" t="s">
        <v>9</v>
      </c>
      <c r="D589">
        <v>33289.129999999997</v>
      </c>
      <c r="E589">
        <v>34805.65</v>
      </c>
      <c r="F589">
        <v>33153.17</v>
      </c>
      <c r="G589">
        <v>33949.79</v>
      </c>
      <c r="H589">
        <v>1379.03</v>
      </c>
      <c r="I589" t="str">
        <f t="shared" si="18"/>
        <v>Jan</v>
      </c>
      <c r="J589" t="str">
        <f t="shared" si="19"/>
        <v>BTCUSD</v>
      </c>
    </row>
    <row r="590" spans="1:10" hidden="1" x14ac:dyDescent="0.3">
      <c r="A590" s="1">
        <v>44225</v>
      </c>
      <c r="B590" t="s">
        <v>8</v>
      </c>
      <c r="C590" t="s">
        <v>9</v>
      </c>
      <c r="D590">
        <v>33864.01</v>
      </c>
      <c r="E590">
        <v>38665.71</v>
      </c>
      <c r="F590">
        <v>31968.27</v>
      </c>
      <c r="G590">
        <v>33289.129999999997</v>
      </c>
      <c r="H590">
        <v>7733.43</v>
      </c>
      <c r="I590" t="str">
        <f t="shared" si="18"/>
        <v>Jan</v>
      </c>
      <c r="J590" t="str">
        <f t="shared" si="19"/>
        <v>BTCUSD</v>
      </c>
    </row>
    <row r="591" spans="1:10" hidden="1" x14ac:dyDescent="0.3">
      <c r="A591" s="1">
        <v>44224</v>
      </c>
      <c r="B591" t="s">
        <v>8</v>
      </c>
      <c r="C591" t="s">
        <v>9</v>
      </c>
      <c r="D591">
        <v>31514.54</v>
      </c>
      <c r="E591">
        <v>34671.769999999997</v>
      </c>
      <c r="F591">
        <v>30866.39</v>
      </c>
      <c r="G591">
        <v>33864.01</v>
      </c>
      <c r="H591">
        <v>4614.55</v>
      </c>
      <c r="I591" t="str">
        <f t="shared" si="18"/>
        <v>Jan</v>
      </c>
      <c r="J591" t="str">
        <f t="shared" si="19"/>
        <v>BTCUSD</v>
      </c>
    </row>
    <row r="592" spans="1:10" hidden="1" x14ac:dyDescent="0.3">
      <c r="A592" s="1">
        <v>44223</v>
      </c>
      <c r="B592" t="s">
        <v>8</v>
      </c>
      <c r="C592" t="s">
        <v>9</v>
      </c>
      <c r="D592">
        <v>31852.6</v>
      </c>
      <c r="E592">
        <v>32059.73</v>
      </c>
      <c r="F592">
        <v>29191.9</v>
      </c>
      <c r="G592">
        <v>31514.54</v>
      </c>
      <c r="H592">
        <v>5779.14</v>
      </c>
      <c r="I592" t="str">
        <f t="shared" si="18"/>
        <v>Jan</v>
      </c>
      <c r="J592" t="str">
        <f t="shared" si="19"/>
        <v>BTCUSD</v>
      </c>
    </row>
    <row r="593" spans="1:10" hidden="1" x14ac:dyDescent="0.3">
      <c r="A593" s="1">
        <v>44222</v>
      </c>
      <c r="B593" t="s">
        <v>8</v>
      </c>
      <c r="C593" t="s">
        <v>9</v>
      </c>
      <c r="D593">
        <v>31557.64</v>
      </c>
      <c r="E593">
        <v>32951</v>
      </c>
      <c r="F593">
        <v>30833.97</v>
      </c>
      <c r="G593">
        <v>31852.6</v>
      </c>
      <c r="H593">
        <v>2542.86</v>
      </c>
      <c r="I593" t="str">
        <f t="shared" si="18"/>
        <v>Jan</v>
      </c>
      <c r="J593" t="str">
        <f t="shared" si="19"/>
        <v>BTCUSD</v>
      </c>
    </row>
    <row r="594" spans="1:10" hidden="1" x14ac:dyDescent="0.3">
      <c r="A594" s="1">
        <v>44221</v>
      </c>
      <c r="B594" t="s">
        <v>8</v>
      </c>
      <c r="C594" t="s">
        <v>9</v>
      </c>
      <c r="D594">
        <v>33585.440000000002</v>
      </c>
      <c r="E594">
        <v>34885.56</v>
      </c>
      <c r="F594">
        <v>31481.38</v>
      </c>
      <c r="G594">
        <v>31557.64</v>
      </c>
      <c r="H594">
        <v>2502.7800000000002</v>
      </c>
      <c r="I594" t="str">
        <f t="shared" si="18"/>
        <v>Jan</v>
      </c>
      <c r="J594" t="str">
        <f t="shared" si="19"/>
        <v>BTCUSD</v>
      </c>
    </row>
    <row r="595" spans="1:10" hidden="1" x14ac:dyDescent="0.3">
      <c r="A595" s="1">
        <v>44220</v>
      </c>
      <c r="B595" t="s">
        <v>8</v>
      </c>
      <c r="C595" t="s">
        <v>9</v>
      </c>
      <c r="D595">
        <v>32500</v>
      </c>
      <c r="E595">
        <v>33672.18</v>
      </c>
      <c r="F595">
        <v>30958</v>
      </c>
      <c r="G595">
        <v>33585.440000000002</v>
      </c>
      <c r="H595">
        <v>1668.48</v>
      </c>
      <c r="I595" t="str">
        <f t="shared" si="18"/>
        <v>Jan</v>
      </c>
      <c r="J595" t="str">
        <f t="shared" si="19"/>
        <v>BTCUSD</v>
      </c>
    </row>
    <row r="596" spans="1:10" hidden="1" x14ac:dyDescent="0.3">
      <c r="A596" s="1">
        <v>44219</v>
      </c>
      <c r="B596" t="s">
        <v>8</v>
      </c>
      <c r="C596" t="s">
        <v>9</v>
      </c>
      <c r="D596">
        <v>32393.63</v>
      </c>
      <c r="E596">
        <v>33479.49</v>
      </c>
      <c r="F596">
        <v>31444</v>
      </c>
      <c r="G596">
        <v>32500</v>
      </c>
      <c r="H596">
        <v>942</v>
      </c>
      <c r="I596" t="str">
        <f t="shared" si="18"/>
        <v>Jan</v>
      </c>
      <c r="J596" t="str">
        <f t="shared" si="19"/>
        <v>BTCUSD</v>
      </c>
    </row>
    <row r="597" spans="1:10" hidden="1" x14ac:dyDescent="0.3">
      <c r="A597" s="1">
        <v>44218</v>
      </c>
      <c r="B597" t="s">
        <v>8</v>
      </c>
      <c r="C597" t="s">
        <v>9</v>
      </c>
      <c r="D597">
        <v>30943.32</v>
      </c>
      <c r="E597">
        <v>33880</v>
      </c>
      <c r="F597">
        <v>30473.87</v>
      </c>
      <c r="G597">
        <v>32393.63</v>
      </c>
      <c r="H597">
        <v>2869.23</v>
      </c>
      <c r="I597" t="str">
        <f t="shared" si="18"/>
        <v>Jan</v>
      </c>
      <c r="J597" t="str">
        <f t="shared" si="19"/>
        <v>BTCUSD</v>
      </c>
    </row>
    <row r="598" spans="1:10" hidden="1" x14ac:dyDescent="0.3">
      <c r="A598" s="1">
        <v>44217</v>
      </c>
      <c r="B598" t="s">
        <v>8</v>
      </c>
      <c r="C598" t="s">
        <v>9</v>
      </c>
      <c r="D598">
        <v>34603.74</v>
      </c>
      <c r="E598">
        <v>35000</v>
      </c>
      <c r="F598">
        <v>28800</v>
      </c>
      <c r="G598">
        <v>30943.32</v>
      </c>
      <c r="H598">
        <v>7290.52</v>
      </c>
      <c r="I598" t="str">
        <f t="shared" si="18"/>
        <v>Jan</v>
      </c>
      <c r="J598" t="str">
        <f t="shared" si="19"/>
        <v>BTCUSD</v>
      </c>
    </row>
    <row r="599" spans="1:10" hidden="1" x14ac:dyDescent="0.3">
      <c r="A599" s="1">
        <v>44216</v>
      </c>
      <c r="B599" t="s">
        <v>8</v>
      </c>
      <c r="C599" t="s">
        <v>9</v>
      </c>
      <c r="D599">
        <v>35075.53</v>
      </c>
      <c r="E599">
        <v>35964.949999999997</v>
      </c>
      <c r="F599">
        <v>33400</v>
      </c>
      <c r="G599">
        <v>34603.74</v>
      </c>
      <c r="H599">
        <v>2900.01</v>
      </c>
      <c r="I599" t="str">
        <f t="shared" si="18"/>
        <v>Jan</v>
      </c>
      <c r="J599" t="str">
        <f t="shared" si="19"/>
        <v>BTCUSD</v>
      </c>
    </row>
    <row r="600" spans="1:10" hidden="1" x14ac:dyDescent="0.3">
      <c r="A600" s="1">
        <v>44215</v>
      </c>
      <c r="B600" t="s">
        <v>8</v>
      </c>
      <c r="C600" t="s">
        <v>9</v>
      </c>
      <c r="D600">
        <v>36509.42</v>
      </c>
      <c r="E600">
        <v>37934.199999999997</v>
      </c>
      <c r="F600">
        <v>35005</v>
      </c>
      <c r="G600">
        <v>35075.53</v>
      </c>
      <c r="H600">
        <v>2726.29</v>
      </c>
      <c r="I600" t="str">
        <f t="shared" si="18"/>
        <v>Jan</v>
      </c>
      <c r="J600" t="str">
        <f t="shared" si="19"/>
        <v>BTCUSD</v>
      </c>
    </row>
    <row r="601" spans="1:10" hidden="1" x14ac:dyDescent="0.3">
      <c r="A601" s="1">
        <v>44214</v>
      </c>
      <c r="B601" t="s">
        <v>8</v>
      </c>
      <c r="C601" t="s">
        <v>9</v>
      </c>
      <c r="D601">
        <v>35089.93</v>
      </c>
      <c r="E601">
        <v>37469.21</v>
      </c>
      <c r="F601">
        <v>34778</v>
      </c>
      <c r="G601">
        <v>36509.42</v>
      </c>
      <c r="H601">
        <v>2083.84</v>
      </c>
      <c r="I601" t="str">
        <f t="shared" si="18"/>
        <v>Jan</v>
      </c>
      <c r="J601" t="str">
        <f t="shared" si="19"/>
        <v>BTCUSD</v>
      </c>
    </row>
    <row r="602" spans="1:10" hidden="1" x14ac:dyDescent="0.3">
      <c r="A602" s="1">
        <v>44213</v>
      </c>
      <c r="B602" t="s">
        <v>8</v>
      </c>
      <c r="C602" t="s">
        <v>9</v>
      </c>
      <c r="D602">
        <v>36215.22</v>
      </c>
      <c r="E602">
        <v>36840.11</v>
      </c>
      <c r="F602">
        <v>33868.959999999999</v>
      </c>
      <c r="G602">
        <v>35089.93</v>
      </c>
      <c r="H602">
        <v>1759.94</v>
      </c>
      <c r="I602" t="str">
        <f t="shared" si="18"/>
        <v>Jan</v>
      </c>
      <c r="J602" t="str">
        <f t="shared" si="19"/>
        <v>BTCUSD</v>
      </c>
    </row>
    <row r="603" spans="1:10" hidden="1" x14ac:dyDescent="0.3">
      <c r="A603" s="1">
        <v>44212</v>
      </c>
      <c r="B603" t="s">
        <v>8</v>
      </c>
      <c r="C603" t="s">
        <v>9</v>
      </c>
      <c r="D603">
        <v>36549.31</v>
      </c>
      <c r="E603">
        <v>37949.71</v>
      </c>
      <c r="F603">
        <v>35400.01</v>
      </c>
      <c r="G603">
        <v>36215.22</v>
      </c>
      <c r="H603">
        <v>1855.53</v>
      </c>
      <c r="I603" t="str">
        <f t="shared" si="18"/>
        <v>Jan</v>
      </c>
      <c r="J603" t="str">
        <f t="shared" si="19"/>
        <v>BTCUSD</v>
      </c>
    </row>
    <row r="604" spans="1:10" hidden="1" x14ac:dyDescent="0.3">
      <c r="A604" s="1">
        <v>44211</v>
      </c>
      <c r="B604" t="s">
        <v>8</v>
      </c>
      <c r="C604" t="s">
        <v>9</v>
      </c>
      <c r="D604">
        <v>38706.519999999997</v>
      </c>
      <c r="E604">
        <v>38849.96</v>
      </c>
      <c r="F604">
        <v>34353.629999999997</v>
      </c>
      <c r="G604">
        <v>36549.31</v>
      </c>
      <c r="H604">
        <v>4503.99</v>
      </c>
      <c r="I604" t="str">
        <f t="shared" si="18"/>
        <v>Jan</v>
      </c>
      <c r="J604" t="str">
        <f t="shared" si="19"/>
        <v>BTCUSD</v>
      </c>
    </row>
    <row r="605" spans="1:10" hidden="1" x14ac:dyDescent="0.3">
      <c r="A605" s="1">
        <v>44210</v>
      </c>
      <c r="B605" t="s">
        <v>8</v>
      </c>
      <c r="C605" t="s">
        <v>9</v>
      </c>
      <c r="D605">
        <v>37040.699999999997</v>
      </c>
      <c r="E605">
        <v>40112.79</v>
      </c>
      <c r="F605">
        <v>36751.4</v>
      </c>
      <c r="G605">
        <v>38706.519999999997</v>
      </c>
      <c r="H605">
        <v>2686.51</v>
      </c>
      <c r="I605" t="str">
        <f t="shared" si="18"/>
        <v>Jan</v>
      </c>
      <c r="J605" t="str">
        <f t="shared" si="19"/>
        <v>BTCUSD</v>
      </c>
    </row>
    <row r="606" spans="1:10" hidden="1" x14ac:dyDescent="0.3">
      <c r="A606" s="1">
        <v>44209</v>
      </c>
      <c r="B606" t="s">
        <v>8</v>
      </c>
      <c r="C606" t="s">
        <v>9</v>
      </c>
      <c r="D606">
        <v>33804.230000000003</v>
      </c>
      <c r="E606">
        <v>38188.33</v>
      </c>
      <c r="F606">
        <v>32800</v>
      </c>
      <c r="G606">
        <v>37040.699999999997</v>
      </c>
      <c r="H606">
        <v>4049.91</v>
      </c>
      <c r="I606" t="str">
        <f t="shared" si="18"/>
        <v>Jan</v>
      </c>
      <c r="J606" t="str">
        <f t="shared" si="19"/>
        <v>BTCUSD</v>
      </c>
    </row>
    <row r="607" spans="1:10" hidden="1" x14ac:dyDescent="0.3">
      <c r="A607" s="1">
        <v>44208</v>
      </c>
      <c r="B607" t="s">
        <v>8</v>
      </c>
      <c r="C607" t="s">
        <v>9</v>
      </c>
      <c r="D607">
        <v>35000</v>
      </c>
      <c r="E607">
        <v>36651.339999999997</v>
      </c>
      <c r="F607">
        <v>32178.29</v>
      </c>
      <c r="G607">
        <v>33804.230000000003</v>
      </c>
      <c r="H607">
        <v>5245.77</v>
      </c>
      <c r="I607" t="str">
        <f t="shared" si="18"/>
        <v>Jan</v>
      </c>
      <c r="J607" t="str">
        <f t="shared" si="19"/>
        <v>BTCUSD</v>
      </c>
    </row>
    <row r="608" spans="1:10" hidden="1" x14ac:dyDescent="0.3">
      <c r="A608" s="1">
        <v>44207</v>
      </c>
      <c r="B608" t="s">
        <v>8</v>
      </c>
      <c r="C608" t="s">
        <v>9</v>
      </c>
      <c r="D608">
        <v>35435.129999999997</v>
      </c>
      <c r="E608">
        <v>36323.25</v>
      </c>
      <c r="F608">
        <v>30250</v>
      </c>
      <c r="G608">
        <v>35000</v>
      </c>
      <c r="H608">
        <v>12556.01</v>
      </c>
      <c r="I608" t="str">
        <f t="shared" si="18"/>
        <v>Jan</v>
      </c>
      <c r="J608" t="str">
        <f t="shared" si="19"/>
        <v>BTCUSD</v>
      </c>
    </row>
    <row r="609" spans="1:10" hidden="1" x14ac:dyDescent="0.3">
      <c r="A609" s="1">
        <v>44206</v>
      </c>
      <c r="B609" t="s">
        <v>8</v>
      </c>
      <c r="C609" t="s">
        <v>9</v>
      </c>
      <c r="D609">
        <v>40490.5</v>
      </c>
      <c r="E609">
        <v>41196.620000000003</v>
      </c>
      <c r="F609">
        <v>33100</v>
      </c>
      <c r="G609">
        <v>35435.129999999997</v>
      </c>
      <c r="H609">
        <v>5913.67</v>
      </c>
      <c r="I609" t="str">
        <f t="shared" si="18"/>
        <v>Jan</v>
      </c>
      <c r="J609" t="str">
        <f t="shared" si="19"/>
        <v>BTCUSD</v>
      </c>
    </row>
    <row r="610" spans="1:10" hidden="1" x14ac:dyDescent="0.3">
      <c r="A610" s="1">
        <v>44205</v>
      </c>
      <c r="B610" t="s">
        <v>8</v>
      </c>
      <c r="C610" t="s">
        <v>9</v>
      </c>
      <c r="D610">
        <v>40279.03</v>
      </c>
      <c r="E610">
        <v>41470.21</v>
      </c>
      <c r="F610">
        <v>38768.82</v>
      </c>
      <c r="G610">
        <v>40490.5</v>
      </c>
      <c r="H610">
        <v>2678.95</v>
      </c>
      <c r="I610" t="str">
        <f t="shared" si="18"/>
        <v>Jan</v>
      </c>
      <c r="J610" t="str">
        <f t="shared" si="19"/>
        <v>BTCUSD</v>
      </c>
    </row>
    <row r="611" spans="1:10" hidden="1" x14ac:dyDescent="0.3">
      <c r="A611" s="1">
        <v>44204</v>
      </c>
      <c r="B611" t="s">
        <v>8</v>
      </c>
      <c r="C611" t="s">
        <v>9</v>
      </c>
      <c r="D611">
        <v>38474.78</v>
      </c>
      <c r="E611">
        <v>41999.99</v>
      </c>
      <c r="F611">
        <v>37574.79</v>
      </c>
      <c r="G611">
        <v>40279.03</v>
      </c>
      <c r="H611">
        <v>5661.85</v>
      </c>
      <c r="I611" t="str">
        <f t="shared" si="18"/>
        <v>Jan</v>
      </c>
      <c r="J611" t="str">
        <f t="shared" si="19"/>
        <v>BTCUSD</v>
      </c>
    </row>
    <row r="612" spans="1:10" hidden="1" x14ac:dyDescent="0.3">
      <c r="A612" s="1">
        <v>44203</v>
      </c>
      <c r="B612" t="s">
        <v>8</v>
      </c>
      <c r="C612" t="s">
        <v>9</v>
      </c>
      <c r="D612">
        <v>37613.11</v>
      </c>
      <c r="E612">
        <v>40396</v>
      </c>
      <c r="F612">
        <v>36129.050000000003</v>
      </c>
      <c r="G612">
        <v>38474.78</v>
      </c>
      <c r="H612">
        <v>5743.52</v>
      </c>
      <c r="I612" t="str">
        <f t="shared" si="18"/>
        <v>Jan</v>
      </c>
      <c r="J612" t="str">
        <f t="shared" si="19"/>
        <v>BTCUSD</v>
      </c>
    </row>
    <row r="613" spans="1:10" hidden="1" x14ac:dyDescent="0.3">
      <c r="A613" s="1">
        <v>44202</v>
      </c>
      <c r="B613" t="s">
        <v>8</v>
      </c>
      <c r="C613" t="s">
        <v>9</v>
      </c>
      <c r="D613">
        <v>34228.19</v>
      </c>
      <c r="E613">
        <v>37824.480000000003</v>
      </c>
      <c r="F613">
        <v>33685.82</v>
      </c>
      <c r="G613">
        <v>37613.11</v>
      </c>
      <c r="H613">
        <v>4925</v>
      </c>
      <c r="I613" t="str">
        <f t="shared" si="18"/>
        <v>Jan</v>
      </c>
      <c r="J613" t="str">
        <f t="shared" si="19"/>
        <v>BTCUSD</v>
      </c>
    </row>
    <row r="614" spans="1:10" hidden="1" x14ac:dyDescent="0.3">
      <c r="A614" s="1">
        <v>44201</v>
      </c>
      <c r="B614" t="s">
        <v>8</v>
      </c>
      <c r="C614" t="s">
        <v>9</v>
      </c>
      <c r="D614">
        <v>31203.46</v>
      </c>
      <c r="E614">
        <v>34536.29</v>
      </c>
      <c r="F614">
        <v>29914.5</v>
      </c>
      <c r="G614">
        <v>34228.19</v>
      </c>
      <c r="H614">
        <v>3056.56</v>
      </c>
      <c r="I614" t="str">
        <f t="shared" si="18"/>
        <v>Jan</v>
      </c>
      <c r="J614" t="str">
        <f t="shared" si="19"/>
        <v>BTCUSD</v>
      </c>
    </row>
    <row r="615" spans="1:10" hidden="1" x14ac:dyDescent="0.3">
      <c r="A615" s="1">
        <v>44200</v>
      </c>
      <c r="B615" t="s">
        <v>8</v>
      </c>
      <c r="C615" t="s">
        <v>9</v>
      </c>
      <c r="D615">
        <v>33617.300000000003</v>
      </c>
      <c r="E615">
        <v>33669</v>
      </c>
      <c r="F615">
        <v>27632.34</v>
      </c>
      <c r="G615">
        <v>31203.46</v>
      </c>
      <c r="H615">
        <v>4603.92</v>
      </c>
      <c r="I615" t="str">
        <f t="shared" si="18"/>
        <v>Jan</v>
      </c>
      <c r="J615" t="str">
        <f t="shared" si="19"/>
        <v>BTCUSD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2638-C78D-3A43-B680-D7CCC5A60E03}">
  <dimension ref="A1:D3"/>
  <sheetViews>
    <sheetView workbookViewId="0">
      <selection activeCell="L13" sqref="L13"/>
    </sheetView>
  </sheetViews>
  <sheetFormatPr defaultColWidth="11.19921875" defaultRowHeight="15.6" x14ac:dyDescent="0.3"/>
  <cols>
    <col min="3" max="3" width="12.09765625" bestFit="1" customWidth="1"/>
  </cols>
  <sheetData>
    <row r="1" spans="1:4" x14ac:dyDescent="0.3">
      <c r="A1" t="s">
        <v>2</v>
      </c>
      <c r="B1" s="6" t="s">
        <v>37</v>
      </c>
      <c r="C1" s="8" t="s">
        <v>38</v>
      </c>
      <c r="D1" t="s">
        <v>39</v>
      </c>
    </row>
    <row r="2" spans="1:4" x14ac:dyDescent="0.3">
      <c r="A2" t="s">
        <v>9</v>
      </c>
      <c r="B2" s="7">
        <v>33617.300000000003</v>
      </c>
      <c r="C2" s="8">
        <v>47207.99</v>
      </c>
      <c r="D2" s="2">
        <f>(C2-B2)/B2</f>
        <v>0.4042766670732032</v>
      </c>
    </row>
    <row r="3" spans="1:4" x14ac:dyDescent="0.3">
      <c r="A3" t="s">
        <v>22</v>
      </c>
      <c r="B3" s="7">
        <v>3764.61</v>
      </c>
      <c r="C3" s="8">
        <v>4775.21</v>
      </c>
      <c r="D3" s="2">
        <f>(C3-B3)/B3</f>
        <v>0.26844746202129832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BFC1-4176-44B5-82AE-A59D9D266B3C}">
  <dimension ref="A1:D20"/>
  <sheetViews>
    <sheetView workbookViewId="0">
      <selection activeCell="O12" sqref="O12"/>
    </sheetView>
  </sheetViews>
  <sheetFormatPr defaultRowHeight="15.6" x14ac:dyDescent="0.3"/>
  <cols>
    <col min="1" max="1" width="10.09765625" customWidth="1"/>
    <col min="2" max="2" width="11.796875" customWidth="1"/>
    <col min="3" max="4" width="10.09765625" customWidth="1"/>
  </cols>
  <sheetData>
    <row r="1" spans="1:4" x14ac:dyDescent="0.3">
      <c r="A1" t="s">
        <v>2</v>
      </c>
      <c r="B1" s="5" t="s">
        <v>40</v>
      </c>
      <c r="C1" s="5" t="s">
        <v>41</v>
      </c>
      <c r="D1" t="s">
        <v>42</v>
      </c>
    </row>
    <row r="2" spans="1:4" x14ac:dyDescent="0.3">
      <c r="A2" t="s">
        <v>9</v>
      </c>
      <c r="B2" s="5">
        <f>_xlfn.MAXIFS(data!E:E, data!C:C, "BTCUSD")</f>
        <v>300000</v>
      </c>
      <c r="C2" s="5">
        <f>_xlfn.MINIFS(data!F:F, data!C:C, "BTCUSD")</f>
        <v>27632.34</v>
      </c>
      <c r="D2" s="2">
        <f t="shared" ref="D2:D3" si="0">C2/B2</f>
        <v>9.2107800000000004E-2</v>
      </c>
    </row>
    <row r="3" spans="1:4" x14ac:dyDescent="0.3">
      <c r="A3" t="s">
        <v>22</v>
      </c>
      <c r="B3" s="5">
        <f>_xlfn.MAXIFS(data!E:E, data!C:C, "SP500")</f>
        <v>4808.93</v>
      </c>
      <c r="C3" s="5">
        <f>_xlfn.MINIFS(data!F:F, data!C:C, "SP500")</f>
        <v>3662.71</v>
      </c>
      <c r="D3" s="2">
        <f t="shared" si="0"/>
        <v>0.76164760144148491</v>
      </c>
    </row>
    <row r="20" spans="3:3" x14ac:dyDescent="0.3">
      <c r="C20">
        <f>C14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FB235-D61D-4F1D-BCA8-B94160790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EDA</vt:lpstr>
      <vt:lpstr>Final Recommendation</vt:lpstr>
      <vt:lpstr>data</vt:lpstr>
      <vt:lpstr>Upside</vt:lpstr>
      <vt:lpstr>Spread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Robin Stofkoper</cp:lastModifiedBy>
  <dcterms:created xsi:type="dcterms:W3CDTF">2022-06-23T16:38:40Z</dcterms:created>
  <dcterms:modified xsi:type="dcterms:W3CDTF">2026-02-21T12:07:48Z</dcterms:modified>
</cp:coreProperties>
</file>